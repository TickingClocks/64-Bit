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<sst xmlns="http://schemas.openxmlformats.org/spreadsheetml/2006/main" count="366" uniqueCount="189">
  <si>
    <t>Item Number</t>
  </si>
  <si>
    <t>PCB/Area</t>
  </si>
  <si>
    <t>Qty</t>
  </si>
  <si>
    <t>Part Number</t>
  </si>
  <si>
    <t>Description</t>
  </si>
  <si>
    <t>Designator</t>
  </si>
  <si>
    <t>price /each</t>
  </si>
  <si>
    <t>price total</t>
  </si>
  <si>
    <t>purchase link</t>
  </si>
  <si>
    <t>note</t>
  </si>
  <si>
    <t>Main Board</t>
  </si>
  <si>
    <t>GCJ188R71H104KA12D</t>
  </si>
  <si>
    <t>0.1uF, 0603</t>
  </si>
  <si>
    <t>mouser</t>
  </si>
  <si>
    <t>GRM319R61E106MA12D</t>
  </si>
  <si>
    <t>10 uF, 1210</t>
  </si>
  <si>
    <t>CL31A226KAHNNNE</t>
  </si>
  <si>
    <t>22 uF, 1210</t>
  </si>
  <si>
    <t>GRM188R61C105KA12J</t>
  </si>
  <si>
    <t>1 uF, 0603</t>
  </si>
  <si>
    <t>GRM188R61E475KE11D</t>
  </si>
  <si>
    <t>4.7 uF, 0603</t>
  </si>
  <si>
    <t>GCM1885C2A220JA16D</t>
  </si>
  <si>
    <t>22 pF, 0603</t>
  </si>
  <si>
    <t>--</t>
  </si>
  <si>
    <t>DNP C0603</t>
  </si>
  <si>
    <t>GCM188R72A103KA37D</t>
  </si>
  <si>
    <t>0.01 uF, 0603</t>
  </si>
  <si>
    <t>Main board</t>
  </si>
  <si>
    <t>1000uF, radial capacitor, TH</t>
  </si>
  <si>
    <t>CRCW060310K0FKECC</t>
  </si>
  <si>
    <t>10 kohm, 0603</t>
  </si>
  <si>
    <t>CRCW0603300RFKEAC</t>
  </si>
  <si>
    <t>300 ohm, 0603</t>
  </si>
  <si>
    <t>CRCW06031K00FKEAC</t>
  </si>
  <si>
    <t>1 kohm, 0603</t>
  </si>
  <si>
    <t>CRCW060322R0FKEAC</t>
  </si>
  <si>
    <t>22 ohm, 0603</t>
  </si>
  <si>
    <t>CRCW06034K70FKEAC</t>
  </si>
  <si>
    <t>4.7 kohm, 0603</t>
  </si>
  <si>
    <t>CRCW060336K0FKEA</t>
  </si>
  <si>
    <t>36 kohm, 0603</t>
  </si>
  <si>
    <t>CRCW0603240KFKEA</t>
  </si>
  <si>
    <t>240 kohm, 0603</t>
  </si>
  <si>
    <t>NA, 0 ohm, 0603, NA</t>
  </si>
  <si>
    <t>CRCW2010470RJNEF</t>
  </si>
  <si>
    <t>470 ohm, 2010</t>
  </si>
  <si>
    <t>CRCW251230K0JNEG</t>
  </si>
  <si>
    <t>30 kohm, 2512</t>
  </si>
  <si>
    <t>CRCW060315K0FKEA</t>
  </si>
  <si>
    <t>15 kohm, 0603</t>
  </si>
  <si>
    <t>CRCW06035K10FKEA</t>
  </si>
  <si>
    <t>5.1 kohm, 0603</t>
  </si>
  <si>
    <t>0 ohm, 0603</t>
  </si>
  <si>
    <t>CRCW0603200KFKEBC</t>
  </si>
  <si>
    <t>200 kohm, 0603</t>
  </si>
  <si>
    <t>TH, photoresistor</t>
  </si>
  <si>
    <t>amazon</t>
  </si>
  <si>
    <t>CG0603MLC-05LE</t>
  </si>
  <si>
    <t>0603, Bidirectional TVS Diode</t>
  </si>
  <si>
    <t>SK54BLF-R1_00001</t>
  </si>
  <si>
    <t>diode</t>
  </si>
  <si>
    <t>APG1608SURKC/T</t>
  </si>
  <si>
    <t>Red LED, 0603</t>
  </si>
  <si>
    <t>APG1608CGKC/T</t>
  </si>
  <si>
    <t>Green LED, 0603</t>
  </si>
  <si>
    <t>APG1608QBC/D</t>
  </si>
  <si>
    <t>Blue LED, 0603</t>
  </si>
  <si>
    <t>74HC3G34DC,125</t>
  </si>
  <si>
    <t>Signal level shifter, 3 channel</t>
  </si>
  <si>
    <t>STM32F446RETx</t>
  </si>
  <si>
    <t>Main STM32 Microcontroller</t>
  </si>
  <si>
    <t>PCA9306DCUR</t>
  </si>
  <si>
    <t>I2C Level Shifter</t>
  </si>
  <si>
    <t>DS1307</t>
  </si>
  <si>
    <t>I2C RTC</t>
  </si>
  <si>
    <t>EN12-VS20AF20</t>
  </si>
  <si>
    <t>Encoder w button, RA</t>
  </si>
  <si>
    <t>24LC64F-I/SN</t>
  </si>
  <si>
    <t>I2C EEPROM</t>
  </si>
  <si>
    <t>ESP32-C6-LCD-1.47</t>
  </si>
  <si>
    <t>ESP32-C6 1.47" LCD dev board</t>
  </si>
  <si>
    <t>female headers for ESP board</t>
  </si>
  <si>
    <t>use what I have at home</t>
  </si>
  <si>
    <t>VEML7700-TR</t>
  </si>
  <si>
    <t>I2C, high resolution ambient light sensor</t>
  </si>
  <si>
    <t>CM8V-T1A-32.768kHz-12.5pF-20PPM-TA-QC</t>
  </si>
  <si>
    <t>32.768kHz crystals</t>
  </si>
  <si>
    <t>ECS-160-20-33-TR3</t>
  </si>
  <si>
    <t>16 mHz crystal</t>
  </si>
  <si>
    <t>L102011MS02Q</t>
  </si>
  <si>
    <t>Power source switch, TH</t>
  </si>
  <si>
    <t>spring wire connector</t>
  </si>
  <si>
    <t>2N7002</t>
  </si>
  <si>
    <t>XP231P0201TR-G</t>
  </si>
  <si>
    <t>P Channel Mosfet</t>
  </si>
  <si>
    <t>JS-12N-K</t>
  </si>
  <si>
    <t>high voltage relays</t>
  </si>
  <si>
    <t>AZ1117CH2-5.0TRG1</t>
  </si>
  <si>
    <t>5V LDO</t>
  </si>
  <si>
    <t>AZ1117CH2-3.3TRG1</t>
  </si>
  <si>
    <t>3.3V LDO</t>
  </si>
  <si>
    <t>BAT-HLD-001</t>
  </si>
  <si>
    <t>CR2032 Battery Holder</t>
  </si>
  <si>
    <t>pin header jumper</t>
  </si>
  <si>
    <t>use what I already have</t>
  </si>
  <si>
    <t>PR30-5V-450-1A-E</t>
  </si>
  <si>
    <t>relay, 5V coil</t>
  </si>
  <si>
    <t>PR30-12V-450-1A-E</t>
  </si>
  <si>
    <t>relay, 12V coil</t>
  </si>
  <si>
    <t>XL6009 Module</t>
  </si>
  <si>
    <t>boost converter module</t>
  </si>
  <si>
    <t>high voltage power supply module</t>
  </si>
  <si>
    <t>M20-7920242R</t>
  </si>
  <si>
    <t>female, SMT, 4 pin dupont connector</t>
  </si>
  <si>
    <t>female board to board connectors</t>
  </si>
  <si>
    <t>USB4216-03-A</t>
  </si>
  <si>
    <t>USB C Connector</t>
  </si>
  <si>
    <t>PJ-102A</t>
  </si>
  <si>
    <t>Power Connector</t>
  </si>
  <si>
    <t>Coin cell</t>
  </si>
  <si>
    <t>Display Board</t>
  </si>
  <si>
    <t>0.1 uF, 0603</t>
  </si>
  <si>
    <t>CRCW1210249KFKEA</t>
  </si>
  <si>
    <t>249 kohm, 1210</t>
  </si>
  <si>
    <t>CRCW121015K0FKEA</t>
  </si>
  <si>
    <t>15 kohm, 1210</t>
  </si>
  <si>
    <t>Display board</t>
  </si>
  <si>
    <t>0603, bidirectional TVS Diodes</t>
  </si>
  <si>
    <t>TPIC6B595</t>
  </si>
  <si>
    <t>HV shift registers</t>
  </si>
  <si>
    <t>IN-12A</t>
  </si>
  <si>
    <t>Nixie Tubes</t>
  </si>
  <si>
    <t>ebay</t>
  </si>
  <si>
    <t>1mm nixie tube pin socket</t>
  </si>
  <si>
    <t>INS-1</t>
  </si>
  <si>
    <t>Neon Bulb</t>
  </si>
  <si>
    <t>3D print</t>
  </si>
  <si>
    <t>INS-1 3D Printed bases</t>
  </si>
  <si>
    <t>negligible price in plastic</t>
  </si>
  <si>
    <t>3 pin, pin socket connector</t>
  </si>
  <si>
    <t>smt board to board connectors</t>
  </si>
  <si>
    <t>LED Board</t>
  </si>
  <si>
    <t>WS2812B</t>
  </si>
  <si>
    <t>Addressable RGB LEDs</t>
  </si>
  <si>
    <t>3 pin, pin header connector</t>
  </si>
  <si>
    <t>Case/Frame</t>
  </si>
  <si>
    <t>3D printed base</t>
  </si>
  <si>
    <t>assuming plastic cost here</t>
  </si>
  <si>
    <t>Picture pane glass</t>
  </si>
  <si>
    <t>brass m3 standoffs</t>
  </si>
  <si>
    <t>brass m3 acorn nuts</t>
  </si>
  <si>
    <t>copper conductive tape</t>
  </si>
  <si>
    <t>spring pogo pins</t>
  </si>
  <si>
    <t>wires</t>
  </si>
  <si>
    <t>Connectors</t>
  </si>
  <si>
    <t>capacitive buttons</t>
  </si>
  <si>
    <t>lead weights</t>
  </si>
  <si>
    <t>usbA male -&gt; usbC female adapter</t>
  </si>
  <si>
    <t>stm32 programmer</t>
  </si>
  <si>
    <t>m3 screws</t>
  </si>
  <si>
    <t>PCB</t>
  </si>
  <si>
    <t>Main Board PCB</t>
  </si>
  <si>
    <t>Main Board PCB, black solder mask, ENIG</t>
  </si>
  <si>
    <t>min x5 order required</t>
  </si>
  <si>
    <t>Display Board PCB</t>
  </si>
  <si>
    <t>Display Board PCB, black solder mask, ENIG</t>
  </si>
  <si>
    <t>LED Board PCB</t>
  </si>
  <si>
    <t>LED Board PCB, black solder mask, ENIG</t>
  </si>
  <si>
    <t>Stencil</t>
  </si>
  <si>
    <t>solder stencils for Main board</t>
  </si>
  <si>
    <t>solder stencils for SMT assembly</t>
  </si>
  <si>
    <t>solder stencils for display board</t>
  </si>
  <si>
    <t>LED Board Solder Stencil</t>
  </si>
  <si>
    <t>Solder stencils for SMT assembly</t>
  </si>
  <si>
    <t>Shipping</t>
  </si>
  <si>
    <t>PCB and stencils shipping</t>
  </si>
  <si>
    <t>shipping for the PCBs</t>
  </si>
  <si>
    <t>shipping</t>
  </si>
  <si>
    <t>shipping for Mouser parts</t>
  </si>
  <si>
    <t>Mouser shipping</t>
  </si>
  <si>
    <t>Tariff</t>
  </si>
  <si>
    <t>Mouser Parts estimated tariff</t>
  </si>
  <si>
    <t>JLC PCB Parts estimated tariff</t>
  </si>
  <si>
    <t>total (pcbs and customs)</t>
  </si>
  <si>
    <t>total (parts not pcbs)</t>
  </si>
  <si>
    <t>Total (min to build 1)</t>
  </si>
  <si>
    <t>Cost of 1 clock assuming 2 are made</t>
  </si>
  <si>
    <t>Cost of 1 clock assuming 3 are made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</si>
</sst>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left" readingOrder="0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borderId="1" fillId="3" fontId="3" numFmtId="0" xfId="0" applyAlignment="1" applyBorder="1" applyFont="1">
      <alignment readingOrder="0"/>
    </xf>
    <xf borderId="1" fillId="3" fontId="2" numFmtId="0" xfId="0" applyAlignment="1" applyBorder="1" applyFont="1">
      <alignment horizontal="left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ouser.com/ProductDetail/Torex-Semiconductor/XP231P0201TR-G?qs=BJlw7L4Cy798pkoM8NVD2Q%3D%3D" TargetMode="External"/><Relationship Id="rId42" Type="http://schemas.openxmlformats.org/officeDocument/2006/relationships/hyperlink" Target="https://www.mouser.com/ProductDetail/Diodes-Incorporated/AZ1117CH2-5.0TRG1?qs=5V6w%252Be2aIqb578qtLdqPjw%3D%3D" TargetMode="External"/><Relationship Id="rId41" Type="http://schemas.openxmlformats.org/officeDocument/2006/relationships/hyperlink" Target="https://www.mouser.com/ProductDetail/FCL-Components/JS-12N-K?qs=%2FFYF3x1u%252Buf98G1in7NiWA%3D%3D" TargetMode="External"/><Relationship Id="rId44" Type="http://schemas.openxmlformats.org/officeDocument/2006/relationships/hyperlink" Target="https://www.mouser.com/ProductDetail/TE-Connectivity-Linx-Technologies/BAT-HLD-001?qs=K5ta8V%252BWhta7hbVGfm4dqA%3D%3D" TargetMode="External"/><Relationship Id="rId43" Type="http://schemas.openxmlformats.org/officeDocument/2006/relationships/hyperlink" Target="https://www.mouser.com/ProductDetail/Diodes-Incorporated/AZ1117CH2-3.3TRG1?qs=lQAVKuKFhkLc7jCxso2G3w%3D%3D" TargetMode="External"/><Relationship Id="rId46" Type="http://schemas.openxmlformats.org/officeDocument/2006/relationships/hyperlink" Target="https://www.mouser.com/ProductDetail/Same-Sky/PR30-12V-450-1A-E?qs=ZcfC38r4Pot83EsX0vii6w%3D%3D" TargetMode="External"/><Relationship Id="rId45" Type="http://schemas.openxmlformats.org/officeDocument/2006/relationships/hyperlink" Target="https://www.mouser.com/ProductDetail/Same-Sky/PR30-5V-450-1A-E?qs=ZcfC38r4Potim%2FTJWnEvrQ%3D%3D" TargetMode="External"/><Relationship Id="rId1" Type="http://schemas.openxmlformats.org/officeDocument/2006/relationships/hyperlink" Target="https://www.mouser.com/ProductDetail/Murata-Electronics/GCJ188R71H104KA12D?qs=zThidflJDvYKuGhiQaflUg%3D%3D" TargetMode="External"/><Relationship Id="rId2" Type="http://schemas.openxmlformats.org/officeDocument/2006/relationships/hyperlink" Target="https://www.mouser.com/ProductDetail/Murata-Electronics/GRM319R61E106MA12D?qs=eeBpzGFlv%252B85QLY8OZY4LA%3D%3D" TargetMode="External"/><Relationship Id="rId3" Type="http://schemas.openxmlformats.org/officeDocument/2006/relationships/hyperlink" Target="https://www.mouser.com/ProductDetail/Samsung-Electro-Mechanics/CL31A226KAHNNNE?qs=X6jEic%2FHinCdwsjGJII51w%3D%3D" TargetMode="External"/><Relationship Id="rId4" Type="http://schemas.openxmlformats.org/officeDocument/2006/relationships/hyperlink" Target="https://www.mouser.com/ProductDetail/Murata-Electronics/GRM188R61C105KA12J?qs=giATsht9l5zorjRVstolWw%3D%3D" TargetMode="External"/><Relationship Id="rId9" Type="http://schemas.openxmlformats.org/officeDocument/2006/relationships/hyperlink" Target="https://www.mouser.com/ProductDetail/Vishay/CRCW060310K0FKECC?qs=wd5RIQLrsJjYJGKL%252BLOtbQ%3D%3D" TargetMode="External"/><Relationship Id="rId48" Type="http://schemas.openxmlformats.org/officeDocument/2006/relationships/hyperlink" Target="https://www.amazon.com/dp/B09D93QNYK?ref_=ppx_hzsearch_conn_dt_b_fed_asin_title_1&amp;th=1" TargetMode="External"/><Relationship Id="rId47" Type="http://schemas.openxmlformats.org/officeDocument/2006/relationships/hyperlink" Target="https://www.amazon.com/dp/B0C81RQ4CN?ref_=ppx_hzsearch_conn_dt_b_fed_asin_title_2" TargetMode="External"/><Relationship Id="rId49" Type="http://schemas.openxmlformats.org/officeDocument/2006/relationships/hyperlink" Target="https://www.mouser.com/ProductDetail/Harwin/M20-7920242R?qs=k41KVqW3ymqXpU6ZyqY%252B2g%3D%3D" TargetMode="External"/><Relationship Id="rId5" Type="http://schemas.openxmlformats.org/officeDocument/2006/relationships/hyperlink" Target="https://www.mouser.com/ProductDetail/Murata-Electronics/GRM188R61E475KE11D?qs=eeBpzGFlv%252B9M0HqzMo%2FgYw%3D%3D" TargetMode="External"/><Relationship Id="rId6" Type="http://schemas.openxmlformats.org/officeDocument/2006/relationships/hyperlink" Target="https://www.mouser.com/ProductDetail/Murata-Electronics/GCM1885C2A220JA16D?qs=2YjXvJr3xviMVh6wGaZW%252Bw%3D%3D" TargetMode="External"/><Relationship Id="rId7" Type="http://schemas.openxmlformats.org/officeDocument/2006/relationships/hyperlink" Target="https://www.mouser.com/ProductDetail/Murata-Electronics/GCM188R72A103KA37D?qs=aEuGZpxfbxXMjTExujWHsg%3D%3D" TargetMode="External"/><Relationship Id="rId8" Type="http://schemas.openxmlformats.org/officeDocument/2006/relationships/hyperlink" Target="https://www.mouser.com/ProductDetail/Wurth-Elektronik/860010578017?qs=0KOYDY2FL2%252BZYPntKa7lMw%3D%3D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s://www.amazon.com/AITRIP-Emulator-Downloader-Programmer-STM32F103C8T6/dp/B0D22S8WVX/ref=sr_1_3?crid=DXADUVP9Z6Z6&amp;dib=eyJ2IjoiMSJ9.amVmLhpVuBxMUB7KIlZoykfrR1Kcsct4qypmypPBhItT4ykk_yUtF7iqgM76zH7cjbnwC-GpYN89OE9F0vvzSt2YA0abcX-VFFjTmQGUXyy-0nUN767L4ZHeyi7od3zd1T9_m_o9IW4XQJHRqcwwGKANleXuCtMGsq5SHJLuTYZmvif9Osf85iNLtlQkchUEiZqvXERKcrSZdQGUONLedg5A7vozffBLxbAj1DEF2Ds.fcDHXPnBZJ-8-xk1gPbxj6UI00Elnx195fuofJVeg9Q&amp;dib_tag=se&amp;keywords=stm32%2Bprogrammer&amp;qid=1764559048&amp;sprefix=stm32%2Bprogramme%2Caps%2C165&amp;sr=8-3&amp;th=1" TargetMode="External"/><Relationship Id="rId31" Type="http://schemas.openxmlformats.org/officeDocument/2006/relationships/hyperlink" Target="https://www.mouser.com/ProductDetail/BI-Technologies-TT-Electronics/EN12-VS20AF20?qs=56eeD6vBg8h0mzuKi1if9A%3D%3D" TargetMode="External"/><Relationship Id="rId30" Type="http://schemas.openxmlformats.org/officeDocument/2006/relationships/hyperlink" Target="https://www.mouser.com/ProductDetail/Analog-Devices-Maxim-Integrated/DS1307Z%2bTR?qs=0Y9aZN%252BMVCXp4OQc9xwQow%3D%3D" TargetMode="External"/><Relationship Id="rId33" Type="http://schemas.openxmlformats.org/officeDocument/2006/relationships/hyperlink" Target="https://www.amazon.com/Waveshare-Development-Frequency-Single-Core-Processor/dp/B0DHTMYTCY/ref=sr_1_3?crid=2ITTYB6FDDKL3&amp;dib=eyJ2IjoiMSJ9.F6mWXGDHcQxaKUKcxi6SBZ0jf2fM9x-Zo7eGHXKhLZlZ5DZrB7CprS7hxBjiLiS-57BZdiRy_32_iPfQasp3-8LdBuklLAP45KLqwPxvtDcNBeCNvF7k1bPJYonVR9l-p2AG99i11bZxZL3cjaAzgobwc5RsQJlFmSycT740dmtjUnNDTitbdUM5rEa85z5O7f5TJhc3O9pyZXDJOT3BH0uFHVFELCmg_nIbUz_0FNI.jCGI2tr5zouCFbs_X_MV7G81IOfFBTH15cTFXINaAZg&amp;dib_tag=se&amp;keywords=esp32+1.47&amp;qid=1764557403&amp;sprefix=esp32+1.47%2Caps%2C180&amp;sr=8-3" TargetMode="External"/><Relationship Id="rId32" Type="http://schemas.openxmlformats.org/officeDocument/2006/relationships/hyperlink" Target="https://www.mouser.com/ProductDetail/Microchip-Technology/24LC64F-I-SN?qs=WqWCsLCZBkrFG%252B0OmVeJ8Q%3D%3D" TargetMode="External"/><Relationship Id="rId35" Type="http://schemas.openxmlformats.org/officeDocument/2006/relationships/hyperlink" Target="https://www.mouser.com/ProductDetail/Micro-Crystal/CM8V-T1A-32.768kHz-12.5pF-20PPM-TA-QC?qs=7bTaA%2FLYtSYgtx%252BmOOZAYQ%3D%3D" TargetMode="External"/><Relationship Id="rId34" Type="http://schemas.openxmlformats.org/officeDocument/2006/relationships/hyperlink" Target="https://www.mouser.com/ProductDetail/Vishay-Semiconductors/VEML7700-TR?qs=BcfjnG7NVaWcZHs8m27pyQ%3D%3D" TargetMode="External"/><Relationship Id="rId71" Type="http://schemas.openxmlformats.org/officeDocument/2006/relationships/hyperlink" Target="http://amazon.com/Adapter-Transfer-Connector-Bi-Directional-Extension/dp/B0DT4FMHF2/ref=sr_1_3?crid=2K47HMQ39Z34L&amp;dib=eyJ2IjoiMSJ9.Iv8YbB9fkiGfEzrd5WptrDfA_96wB_pH8V0wF6GjdQIBEmvusfqeAfl8gIH6_TrrqtNYtPcn4hnHCRmh5zIIbBXiSc8HBgDcMa8B4TsUmWlewZWliJnfofEWjPJGAB-HnZ0bYtJg6GE9rNDt9L-fHPA2jWqnErawm3aF_6JPWIo9teAxBPAeN6CP9dhlgVwM_y8jAf9Z0wM08LedecTP6N_wQGxhzBoYKEkCkvGpiB0.IguG414VWdqyWcNRjEzAd1-7kDbt5MwvSqmV5XDNxQU&amp;dib_tag=se&amp;keywords=usb+a+female+to+usb+c+female+adapter&amp;nsdOptOutParam=true&amp;qid=1764559007&amp;sprefix=usb+a+female+to+usb+c+femal+adapter%2Caps%2C153&amp;sr=8-3" TargetMode="External"/><Relationship Id="rId70" Type="http://schemas.openxmlformats.org/officeDocument/2006/relationships/hyperlink" Target="https://www.amazon.com/dp/B06XDG1JJH?ref_=ppx_hzsearch_conn_dt_b_fed_asin_title_1&amp;th=1" TargetMode="External"/><Relationship Id="rId37" Type="http://schemas.openxmlformats.org/officeDocument/2006/relationships/hyperlink" Target="https://www.mouser.com/ProductDetail/CK/L102011MS02Q?qs=m%252BSHaab3AgrintD9BMqbYQ%3D%3D" TargetMode="External"/><Relationship Id="rId36" Type="http://schemas.openxmlformats.org/officeDocument/2006/relationships/hyperlink" Target="https://www.mouser.com/ProductDetail/ECS/ECS-160-20-33-TR3?qs=e8oIoAS2J1R7I5xgTslvVQ%3D%3D" TargetMode="External"/><Relationship Id="rId39" Type="http://schemas.openxmlformats.org/officeDocument/2006/relationships/hyperlink" Target="https://www.mouser.com/ProductDetail/onsemi-Fairchild/2N7002?qs=0dwsXDNhqlz66WJJhrTFjQ%3D%3D" TargetMode="External"/><Relationship Id="rId38" Type="http://schemas.openxmlformats.org/officeDocument/2006/relationships/hyperlink" Target="https://www.mouser.com/ProductDetail/Phoenix-Contact/1985195?qs=nq%2FEIFkB2fEpUV%252BqAaKYzQ%3D%3D" TargetMode="External"/><Relationship Id="rId62" Type="http://schemas.openxmlformats.org/officeDocument/2006/relationships/hyperlink" Target="https://www.mouser.com/ProductDetail/Wurth-Elektronik/610110249121?qs=a9WhcLg8qCzIr%252B0m4JFDmA%3D%3D" TargetMode="External"/><Relationship Id="rId61" Type="http://schemas.openxmlformats.org/officeDocument/2006/relationships/hyperlink" Target="https://www.ebay.com/itm/227032759689?_skw=ins-1&amp;itmmeta=01KBBYYDXXQJ9ZTY8F34NHPWKH&amp;hash=item34dc34fd89:g:aCsAAOSwWANnhru8&amp;itmprp=enc%3AAQAKAAAA4FkggFvd1GGDu0w3yXCmi1d9TK%2FdBeGEeLdbt5hFHRAaj6pHR%2FLqPrpV4O7vNV7hr%2FywZjSwM%2BGe825N7JhnSONs7v3GqTNcCeOpTJcqrkC%2FuCv5TkgHlgHt8rlXuPUmcTi3aXm9VWybWs8u4qWAJuA1A%2Fv2i0G12tSdlYzZ7nzSoKRMffpheMjgxtpN9QwwrnhBhLZ5GNkT%2BJJxjzo4Bdb9seXKkDCTvtTaS%2BePublvzwfs9C%2BYEwxmWuh2JD02lsNOGzO93nPHud6JKS1o5ZiePbH4BYxvGi%2BEgdldfqh4%7Ctkp%3ABFBMkN_5_tpm" TargetMode="External"/><Relationship Id="rId20" Type="http://schemas.openxmlformats.org/officeDocument/2006/relationships/hyperlink" Target="https://www.mouser.com/ProductDetail/Vishay/CRCW0603200KFKEBC?qs=wd5RIQLrsJiakUnx5aO8PQ%3D%3D" TargetMode="External"/><Relationship Id="rId64" Type="http://schemas.openxmlformats.org/officeDocument/2006/relationships/hyperlink" Target="https://www.mouser.com/ProductDetail/Vishay/CRCW0603300RFKEAC?qs=E3Y5ESvWgWMwvWEs%2FXNQHg%3D%3D" TargetMode="External"/><Relationship Id="rId63" Type="http://schemas.openxmlformats.org/officeDocument/2006/relationships/hyperlink" Target="https://www.mouser.com/ProductDetail/Murata-Electronics/GCJ188R71H104KA12D?qs=zThidflJDvYKuGhiQaflUg%3D%3D" TargetMode="External"/><Relationship Id="rId22" Type="http://schemas.openxmlformats.org/officeDocument/2006/relationships/hyperlink" Target="https://www.mouser.com/ProductDetail/Bourns/CG0603MLC-05LE?qs=m8myXnDJXpVyWtNNhuqisQ%3D%3D" TargetMode="External"/><Relationship Id="rId66" Type="http://schemas.openxmlformats.org/officeDocument/2006/relationships/hyperlink" Target="http://amazon.com/Csdtylh-Male-Female-Standoff-Stainless-Assortment/dp/B06Y5TJXY1/ref=sr_1_3?crid=GY0BL04CPU79&amp;dib=eyJ2IjoiMSJ9.X5Ttj9FiG8z9fCvPS0iuVh1-LMsHBoeJzSSLAnC_wrXayHnNBtOA7MrI0ScCvWE5TmusCPPRuMLa8YqtrcXZ5e9zCbursCX01qTiV65EvMaTe8OBGMNKRrcUWA0uLmNG3Zaemsk5DM1pDcY_kyq9HVBEDqX0KTiChXB0omakcFh14lWU2l6LtELyGNiWC4GnpM6O3_rlX1DHEHf24PiaH_TuWiY1_Z4jt06HjbqX4V4.vPeKh8afdROPhQfTNPRZJlp6JU0ZF6Q-v59IfhLRWhI&amp;dib_tag=se&amp;keywords=M3+STANDOFFS&amp;qid=1764632086&amp;sprefix=m3+standoffs%2Caps%2C185&amp;sr=8-3" TargetMode="External"/><Relationship Id="rId21" Type="http://schemas.openxmlformats.org/officeDocument/2006/relationships/hyperlink" Target="https://www.amazon.com/eBoot-Photoresistor-Sensitive-Resistor-Dependent/dp/B01N7V536K/ref=sr_1_3?crid=1TOMUZEODOW8V&amp;dib=eyJ2IjoiMSJ9.sOLTzijjT9T_uw_WfZErs6rxXFV3P9N_nefF0BX8Y0a6fxFYko0IZ2zuMaP6BMX96eXLTON5KItWtocFbUtWFOygGKfc589L058VZgGTKrg6P7pAsSHVIKH38bynSFIXwOX4ZXZHOj1YGbJDTda5euR6wbxx_efTu9L1xpRhyKJIQYReBOdglkaws70Y6VW44kQcJiqQCzkbP-7UEnFgQe6Q25lvS0rzy97EFXExBok.HBk1tx95gsN3_nWnlKnLlmvba7ZAsl0tBorJOtQteNc&amp;dib_tag=se&amp;keywords=photoresistor&amp;qid=1764631985&amp;sprefix=photoresistor%2Caps%2C185&amp;sr=8-3&amp;th=1" TargetMode="External"/><Relationship Id="rId65" Type="http://schemas.openxmlformats.org/officeDocument/2006/relationships/hyperlink" Target="https://www.amazon.com/dp/B0BWDWKTB6?ref_=ppx_hzsearch_conn_dt_b_fed_asin_title_1&amp;th=1" TargetMode="External"/><Relationship Id="rId24" Type="http://schemas.openxmlformats.org/officeDocument/2006/relationships/hyperlink" Target="https://www.mouser.com/ProductDetail/Kingbright/APG1608SURKC-T?qs=uxmOeTEqoPxGH1cbvEL84g%3D%3D" TargetMode="External"/><Relationship Id="rId68" Type="http://schemas.openxmlformats.org/officeDocument/2006/relationships/hyperlink" Target="https://www.amazon.com/dp/B0F48W46WZ?ref_=ppx_hzsearch_conn_dt_b_fed_asin_title_6" TargetMode="External"/><Relationship Id="rId23" Type="http://schemas.openxmlformats.org/officeDocument/2006/relationships/hyperlink" Target="https://www.mouser.com/ProductDetail/Panjit/SK54BLF_R1_00001?qs=sPbYRqrBIVk6ny5Uu6rUPg%3D%3D" TargetMode="External"/><Relationship Id="rId67" Type="http://schemas.openxmlformats.org/officeDocument/2006/relationships/hyperlink" Target="https://www.amazon.com/dp/B09WGYP2VR?ref_=ppx_hzsearch_conn_dt_b_fed_asin_title_3" TargetMode="External"/><Relationship Id="rId60" Type="http://schemas.openxmlformats.org/officeDocument/2006/relationships/hyperlink" Target="https://www.amazon.com/dp/B09D2VQR3Q?ref_=ppx_hzsearch_conn_dt_b_fed_asin_title_7&amp;th=1" TargetMode="External"/><Relationship Id="rId26" Type="http://schemas.openxmlformats.org/officeDocument/2006/relationships/hyperlink" Target="https://www.mouser.com/ProductDetail/Kingbright/APG1608QBC-D?qs=uxmOeTEqoPzUQ%252B6SHl8a5A%3D%3D" TargetMode="External"/><Relationship Id="rId25" Type="http://schemas.openxmlformats.org/officeDocument/2006/relationships/hyperlink" Target="https://www.mouser.com/ProductDetail/Kingbright/APG1608CGKC-T?qs=uxmOeTEqoPwOMdoDiWi4nA%3D%3D" TargetMode="External"/><Relationship Id="rId69" Type="http://schemas.openxmlformats.org/officeDocument/2006/relationships/hyperlink" Target="https://www.amazon.com/dp/B0BFZXP1D8?ref_=ppx_hzsearch_conn_dt_b_fed_asin_title_2" TargetMode="External"/><Relationship Id="rId28" Type="http://schemas.openxmlformats.org/officeDocument/2006/relationships/hyperlink" Target="https://www.mouser.com/ProductDetail/STMicroelectronics/STM32F446RET6?qs=Ok1pvOkw6%2FqpQsWf8F4wtQ%3D%3D" TargetMode="External"/><Relationship Id="rId27" Type="http://schemas.openxmlformats.org/officeDocument/2006/relationships/hyperlink" Target="https://www.mouser.com/ProductDetail/Nexperia/74HC3G34DC125?qs=P62ublwmbi%252B8B4VZQ89Dzw%3D%3D" TargetMode="External"/><Relationship Id="rId29" Type="http://schemas.openxmlformats.org/officeDocument/2006/relationships/hyperlink" Target="https://www.mouser.com/ProductDetail/Texas-Instruments/PCA9306DCUR?qs=wgAEGBTxy7nQr5PRxNBUNA%3D%3D" TargetMode="External"/><Relationship Id="rId51" Type="http://schemas.openxmlformats.org/officeDocument/2006/relationships/hyperlink" Target="https://www.mouser.com/ProductDetail/GCT/USB4216-03-A?qs=Tc%252BHE9vUsnv1G2UWLFIexA%3D%3D" TargetMode="External"/><Relationship Id="rId50" Type="http://schemas.openxmlformats.org/officeDocument/2006/relationships/hyperlink" Target="https://www.mouser.com/ProductDetail/Wurth-Elektronik/61301021021?qs=ZtY9WdtwX56X%2F8LrwHRgHg%3D%3D" TargetMode="External"/><Relationship Id="rId53" Type="http://schemas.openxmlformats.org/officeDocument/2006/relationships/hyperlink" Target="https://www.mouser.com/Tools/Project/Details?projectGUID=67f004be-61d0-41fa-bba2-e4882123ddfc" TargetMode="External"/><Relationship Id="rId52" Type="http://schemas.openxmlformats.org/officeDocument/2006/relationships/hyperlink" Target="https://www.mouser.com/ProductDetail/Same-Sky/PJ-102A?qs=WyjlAZoYn50UKjtnxOz%252Bqg%3D%3D" TargetMode="External"/><Relationship Id="rId11" Type="http://schemas.openxmlformats.org/officeDocument/2006/relationships/hyperlink" Target="https://www.mouser.com/ProductDetail/Vishay/CRCW06031K00FKEAC?qs=E3Y5ESvWgWOQ7ePIWbGVFg%3D%3D" TargetMode="External"/><Relationship Id="rId55" Type="http://schemas.openxmlformats.org/officeDocument/2006/relationships/hyperlink" Target="https://www.mouser.com/ProductDetail/Vishay/CRCW1210249KFKEA?qs=u0pLYIWDdLeW%252BEKXIu9Hbg%3D%3D" TargetMode="External"/><Relationship Id="rId10" Type="http://schemas.openxmlformats.org/officeDocument/2006/relationships/hyperlink" Target="https://www.mouser.com/ProductDetail/Vishay/CRCW0603300RFKEAC?qs=E3Y5ESvWgWMwvWEs%2FXNQHg%3D%3D" TargetMode="External"/><Relationship Id="rId54" Type="http://schemas.openxmlformats.org/officeDocument/2006/relationships/hyperlink" Target="https://www.mouser.com/ProductDetail/Murata-Electronics/GCJ188R71H104KA12D?qs=zThidflJDvYKuGhiQaflUg%3D%3D" TargetMode="External"/><Relationship Id="rId13" Type="http://schemas.openxmlformats.org/officeDocument/2006/relationships/hyperlink" Target="https://www.mouser.com/ProductDetail/Vishay/CRCW06034K70FKEAC?qs=E3Y5ESvWgWMdaA4%252BnoVN0A%3D%3D" TargetMode="External"/><Relationship Id="rId57" Type="http://schemas.openxmlformats.org/officeDocument/2006/relationships/hyperlink" Target="https://www.mouser.com/ProductDetail/Bourns/CG0603MLC-05LE?qs=m8myXnDJXpVyWtNNhuqisQ%3D%3D" TargetMode="External"/><Relationship Id="rId12" Type="http://schemas.openxmlformats.org/officeDocument/2006/relationships/hyperlink" Target="https://www.mouser.com/ProductDetail/Vishay/CRCW060322R0FKEAC?qs=E3Y5ESvWgWOyct8zbXvrzA%3D%3D" TargetMode="External"/><Relationship Id="rId56" Type="http://schemas.openxmlformats.org/officeDocument/2006/relationships/hyperlink" Target="https://www.mouser.com/ProductDetail/Vishay/CRCW121015K0FKEA?qs=bw5uWrxixdSFp1cY0NcfxA%3D%3D" TargetMode="External"/><Relationship Id="rId15" Type="http://schemas.openxmlformats.org/officeDocument/2006/relationships/hyperlink" Target="https://www.mouser.com/ProductDetail/Vishay/CRCW0603240KFKEA?qs=nz%2FDziUe1SwAG9wIRcPL7Q%3D%3D" TargetMode="External"/><Relationship Id="rId59" Type="http://schemas.openxmlformats.org/officeDocument/2006/relationships/hyperlink" Target="https://www.ebay.com/itm/141833775275?_skw=in12+nixie&amp;itmmeta=01KBBYV0734VEJCEHVSZM2ANAR&amp;hash=item2105f3a8ab:g:XhMAAOSw3ydVjGgu&amp;itmprp=enc%3AAQAKAAAA4FkggFvd1GGDu0w3yXCmi1dvNitgWdlW%2B4dLy2TnXgO%2FcsUR4ollI8nV9blF%2BtRYpkq%2FSDvUJRZFD7PintYIICh4g0vtRJKbTC0CE%2FSBZkL7tDqtkUXNc0LSHdcHUfVSu%2B9og3kuXCIhnUfEKNH3Vdfblim4aOLM5rTSgknKSfJYwmngCa81MUO4hjwbMMf%2Bho65n%2BtehpHON%2BTDaqSzXAJIUOiBVUJ1xcrGqm2H82vfVVVEigOgXR1ZdQ8Wg%2BwMC01V255Xr6zwK0zmWhuZd5Y5Kpt9uRKDNMXo8xYBbW7l%7Ctkp%3ABk9SR-CD7P7aZg" TargetMode="External"/><Relationship Id="rId14" Type="http://schemas.openxmlformats.org/officeDocument/2006/relationships/hyperlink" Target="https://www.mouser.com/ProductDetail/Vishay/CRCW060336K0FKEA?qs=0Yv%252B5xUGNSmcsWBuyiV%2FYQ%3D%3D" TargetMode="External"/><Relationship Id="rId58" Type="http://schemas.openxmlformats.org/officeDocument/2006/relationships/hyperlink" Target="https://www.mouser.com/ProductDetail/Texas-Instruments/TPIC6B595DWR?qs=w32V8uFkMxk11fsXFu3cTA%3D%3D" TargetMode="External"/><Relationship Id="rId17" Type="http://schemas.openxmlformats.org/officeDocument/2006/relationships/hyperlink" Target="https://www.mouser.com/ProductDetail/Vishay/CRCW251230K0JNEG?qs=ushTUU0Ny6kGXVH8pXxR0g%3D%3D" TargetMode="External"/><Relationship Id="rId16" Type="http://schemas.openxmlformats.org/officeDocument/2006/relationships/hyperlink" Target="https://www.mouser.com/ProductDetail/Vishay/CRCW2010470RJNEF?qs=UHJ2bL150zjnG4YlOSrZlQ%3D%3D" TargetMode="External"/><Relationship Id="rId19" Type="http://schemas.openxmlformats.org/officeDocument/2006/relationships/hyperlink" Target="https://www.mouser.com/ProductDetail/Vishay/CRCW06035K10FKEA?qs=pfqtYUWm1IVbeSxo5oKU9A%3D%3D" TargetMode="External"/><Relationship Id="rId18" Type="http://schemas.openxmlformats.org/officeDocument/2006/relationships/hyperlink" Target="https://www.mouser.com/ProductDetail/Vishay/CRCW060315K0FKEA?qs=HpYJtD%2F%252BJmIvXVn2C2zFX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4" max="4" width="38.5"/>
    <col customWidth="1" min="5" max="5" width="36.88"/>
    <col customWidth="1" min="6" max="6" width="17.0"/>
    <col customWidth="1" min="9" max="9" width="11.5"/>
    <col customWidth="1" min="10" max="10" width="3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</row>
    <row r="2">
      <c r="A2" s="3">
        <v>1.0</v>
      </c>
      <c r="B2" s="4" t="s">
        <v>10</v>
      </c>
      <c r="C2" s="3">
        <v>13.0</v>
      </c>
      <c r="D2" s="4" t="s">
        <v>11</v>
      </c>
      <c r="E2" s="4" t="s">
        <v>12</v>
      </c>
      <c r="F2" s="5"/>
      <c r="G2" s="4">
        <v>0.1</v>
      </c>
      <c r="H2" s="5">
        <f t="shared" ref="H2:H64" si="1">G2*C2</f>
        <v>1.3</v>
      </c>
      <c r="I2" s="6" t="s">
        <v>13</v>
      </c>
      <c r="J2" s="5"/>
    </row>
    <row r="3">
      <c r="A3" s="3">
        <v>2.0</v>
      </c>
      <c r="B3" s="4" t="s">
        <v>10</v>
      </c>
      <c r="C3" s="3">
        <v>4.0</v>
      </c>
      <c r="D3" s="4" t="s">
        <v>14</v>
      </c>
      <c r="E3" s="4" t="s">
        <v>15</v>
      </c>
      <c r="F3" s="5"/>
      <c r="G3" s="4">
        <v>0.24</v>
      </c>
      <c r="H3" s="5">
        <f t="shared" si="1"/>
        <v>0.96</v>
      </c>
      <c r="I3" s="6" t="s">
        <v>13</v>
      </c>
      <c r="J3" s="5"/>
    </row>
    <row r="4">
      <c r="A4" s="3">
        <v>3.0</v>
      </c>
      <c r="B4" s="4" t="s">
        <v>10</v>
      </c>
      <c r="C4" s="3">
        <v>4.0</v>
      </c>
      <c r="D4" s="4" t="s">
        <v>16</v>
      </c>
      <c r="E4" s="4" t="s">
        <v>17</v>
      </c>
      <c r="F4" s="5"/>
      <c r="G4" s="4">
        <v>0.11</v>
      </c>
      <c r="H4" s="5">
        <f t="shared" si="1"/>
        <v>0.44</v>
      </c>
      <c r="I4" s="6" t="s">
        <v>13</v>
      </c>
      <c r="J4" s="5"/>
    </row>
    <row r="5">
      <c r="A5" s="3">
        <v>4.0</v>
      </c>
      <c r="B5" s="4" t="s">
        <v>10</v>
      </c>
      <c r="C5" s="3">
        <v>3.0</v>
      </c>
      <c r="D5" s="4" t="s">
        <v>18</v>
      </c>
      <c r="E5" s="4" t="s">
        <v>19</v>
      </c>
      <c r="F5" s="5"/>
      <c r="G5" s="4">
        <v>0.11</v>
      </c>
      <c r="H5" s="5">
        <f t="shared" si="1"/>
        <v>0.33</v>
      </c>
      <c r="I5" s="6" t="s">
        <v>13</v>
      </c>
      <c r="J5" s="5"/>
    </row>
    <row r="6">
      <c r="A6" s="3">
        <v>5.0</v>
      </c>
      <c r="B6" s="4" t="s">
        <v>10</v>
      </c>
      <c r="C6" s="3">
        <v>2.0</v>
      </c>
      <c r="D6" s="4" t="s">
        <v>20</v>
      </c>
      <c r="E6" s="4" t="s">
        <v>21</v>
      </c>
      <c r="F6" s="5"/>
      <c r="G6" s="4">
        <v>0.1</v>
      </c>
      <c r="H6" s="5">
        <f t="shared" si="1"/>
        <v>0.2</v>
      </c>
      <c r="I6" s="6" t="s">
        <v>13</v>
      </c>
      <c r="J6" s="5"/>
    </row>
    <row r="7">
      <c r="A7" s="3">
        <v>6.0</v>
      </c>
      <c r="B7" s="4" t="s">
        <v>10</v>
      </c>
      <c r="C7" s="3">
        <v>2.0</v>
      </c>
      <c r="D7" s="4" t="s">
        <v>22</v>
      </c>
      <c r="E7" s="4" t="s">
        <v>23</v>
      </c>
      <c r="F7" s="5"/>
      <c r="G7" s="4">
        <v>0.1</v>
      </c>
      <c r="H7" s="5">
        <f t="shared" si="1"/>
        <v>0.2</v>
      </c>
      <c r="I7" s="6" t="s">
        <v>13</v>
      </c>
      <c r="J7" s="5"/>
    </row>
    <row r="8">
      <c r="A8" s="3">
        <v>7.0</v>
      </c>
      <c r="B8" s="4" t="s">
        <v>10</v>
      </c>
      <c r="C8" s="3">
        <v>2.0</v>
      </c>
      <c r="D8" s="4" t="s">
        <v>24</v>
      </c>
      <c r="E8" s="4" t="s">
        <v>25</v>
      </c>
      <c r="F8" s="5"/>
      <c r="G8" s="4">
        <v>0.0</v>
      </c>
      <c r="H8" s="5">
        <f t="shared" si="1"/>
        <v>0</v>
      </c>
      <c r="I8" s="5"/>
      <c r="J8" s="5"/>
    </row>
    <row r="9">
      <c r="A9" s="3">
        <v>8.0</v>
      </c>
      <c r="B9" s="4" t="s">
        <v>10</v>
      </c>
      <c r="C9" s="3">
        <v>2.0</v>
      </c>
      <c r="D9" s="4" t="s">
        <v>26</v>
      </c>
      <c r="E9" s="4" t="s">
        <v>27</v>
      </c>
      <c r="F9" s="5"/>
      <c r="G9" s="4">
        <v>0.1</v>
      </c>
      <c r="H9" s="5">
        <f t="shared" si="1"/>
        <v>0.2</v>
      </c>
      <c r="I9" s="6" t="s">
        <v>13</v>
      </c>
      <c r="J9" s="5"/>
    </row>
    <row r="10">
      <c r="A10" s="3">
        <v>9.0</v>
      </c>
      <c r="B10" s="4" t="s">
        <v>28</v>
      </c>
      <c r="C10" s="3">
        <v>2.0</v>
      </c>
      <c r="D10" s="3">
        <v>8.60010578017E11</v>
      </c>
      <c r="E10" s="4" t="s">
        <v>29</v>
      </c>
      <c r="F10" s="5"/>
      <c r="G10" s="4">
        <v>0.9</v>
      </c>
      <c r="H10" s="5">
        <f t="shared" si="1"/>
        <v>1.8</v>
      </c>
      <c r="I10" s="6" t="s">
        <v>13</v>
      </c>
      <c r="J10" s="5"/>
    </row>
    <row r="11">
      <c r="A11" s="3">
        <v>10.0</v>
      </c>
      <c r="B11" s="4" t="s">
        <v>10</v>
      </c>
      <c r="C11" s="3">
        <v>15.0</v>
      </c>
      <c r="D11" s="4" t="s">
        <v>30</v>
      </c>
      <c r="E11" s="4" t="s">
        <v>31</v>
      </c>
      <c r="F11" s="5"/>
      <c r="G11" s="4">
        <v>0.02</v>
      </c>
      <c r="H11" s="5">
        <f t="shared" si="1"/>
        <v>0.3</v>
      </c>
      <c r="I11" s="6" t="s">
        <v>13</v>
      </c>
      <c r="J11" s="5"/>
    </row>
    <row r="12">
      <c r="A12" s="3">
        <v>11.0</v>
      </c>
      <c r="B12" s="4" t="s">
        <v>10</v>
      </c>
      <c r="C12" s="3">
        <v>14.0</v>
      </c>
      <c r="D12" s="4" t="s">
        <v>32</v>
      </c>
      <c r="E12" s="4" t="s">
        <v>33</v>
      </c>
      <c r="F12" s="5"/>
      <c r="G12" s="4">
        <v>0.02</v>
      </c>
      <c r="H12" s="5">
        <f t="shared" si="1"/>
        <v>0.28</v>
      </c>
      <c r="I12" s="6" t="s">
        <v>13</v>
      </c>
      <c r="J12" s="5"/>
    </row>
    <row r="13">
      <c r="A13" s="3">
        <v>12.0</v>
      </c>
      <c r="B13" s="4" t="s">
        <v>10</v>
      </c>
      <c r="C13" s="3">
        <v>13.0</v>
      </c>
      <c r="D13" s="4" t="s">
        <v>34</v>
      </c>
      <c r="E13" s="4" t="s">
        <v>35</v>
      </c>
      <c r="F13" s="5"/>
      <c r="G13" s="4">
        <v>0.02</v>
      </c>
      <c r="H13" s="5">
        <f t="shared" si="1"/>
        <v>0.26</v>
      </c>
      <c r="I13" s="6" t="s">
        <v>13</v>
      </c>
      <c r="J13" s="5"/>
    </row>
    <row r="14">
      <c r="A14" s="3">
        <v>13.0</v>
      </c>
      <c r="B14" s="4" t="s">
        <v>28</v>
      </c>
      <c r="C14" s="3">
        <v>8.0</v>
      </c>
      <c r="D14" s="4" t="s">
        <v>36</v>
      </c>
      <c r="E14" s="4" t="s">
        <v>37</v>
      </c>
      <c r="F14" s="5"/>
      <c r="G14" s="4">
        <v>0.1</v>
      </c>
      <c r="H14" s="5">
        <f t="shared" si="1"/>
        <v>0.8</v>
      </c>
      <c r="I14" s="6" t="s">
        <v>13</v>
      </c>
      <c r="J14" s="5"/>
    </row>
    <row r="15">
      <c r="A15" s="3">
        <v>14.0</v>
      </c>
      <c r="B15" s="4" t="s">
        <v>10</v>
      </c>
      <c r="C15" s="3">
        <v>6.0</v>
      </c>
      <c r="D15" s="4" t="s">
        <v>38</v>
      </c>
      <c r="E15" s="4" t="s">
        <v>39</v>
      </c>
      <c r="F15" s="5"/>
      <c r="G15" s="4">
        <v>0.1</v>
      </c>
      <c r="H15" s="5">
        <f t="shared" si="1"/>
        <v>0.6</v>
      </c>
      <c r="I15" s="6" t="s">
        <v>13</v>
      </c>
      <c r="J15" s="5"/>
    </row>
    <row r="16">
      <c r="A16" s="3">
        <v>15.0</v>
      </c>
      <c r="B16" s="4" t="s">
        <v>10</v>
      </c>
      <c r="C16" s="3">
        <v>5.0</v>
      </c>
      <c r="D16" s="4" t="s">
        <v>40</v>
      </c>
      <c r="E16" s="4" t="s">
        <v>41</v>
      </c>
      <c r="F16" s="5"/>
      <c r="G16" s="4">
        <v>0.1</v>
      </c>
      <c r="H16" s="5">
        <f t="shared" si="1"/>
        <v>0.5</v>
      </c>
      <c r="I16" s="6" t="s">
        <v>13</v>
      </c>
      <c r="J16" s="5"/>
    </row>
    <row r="17">
      <c r="A17" s="3">
        <v>16.0</v>
      </c>
      <c r="B17" s="4" t="s">
        <v>10</v>
      </c>
      <c r="C17" s="3">
        <v>4.0</v>
      </c>
      <c r="D17" s="4" t="s">
        <v>42</v>
      </c>
      <c r="E17" s="4" t="s">
        <v>43</v>
      </c>
      <c r="F17" s="5"/>
      <c r="G17" s="4">
        <v>0.1</v>
      </c>
      <c r="H17" s="5">
        <f t="shared" si="1"/>
        <v>0.4</v>
      </c>
      <c r="I17" s="6" t="s">
        <v>13</v>
      </c>
      <c r="J17" s="5"/>
    </row>
    <row r="18">
      <c r="A18" s="3">
        <v>17.0</v>
      </c>
      <c r="B18" s="4" t="s">
        <v>10</v>
      </c>
      <c r="C18" s="3">
        <v>4.0</v>
      </c>
      <c r="D18" s="4" t="s">
        <v>24</v>
      </c>
      <c r="E18" s="4" t="s">
        <v>44</v>
      </c>
      <c r="F18" s="5"/>
      <c r="G18" s="4">
        <v>0.0</v>
      </c>
      <c r="H18" s="5">
        <f t="shared" si="1"/>
        <v>0</v>
      </c>
      <c r="I18" s="5"/>
      <c r="J18" s="5"/>
    </row>
    <row r="19">
      <c r="A19" s="3">
        <v>18.0</v>
      </c>
      <c r="B19" s="4" t="s">
        <v>10</v>
      </c>
      <c r="C19" s="3">
        <v>2.0</v>
      </c>
      <c r="D19" s="4" t="s">
        <v>45</v>
      </c>
      <c r="E19" s="4" t="s">
        <v>46</v>
      </c>
      <c r="F19" s="5"/>
      <c r="G19" s="4">
        <v>0.23</v>
      </c>
      <c r="H19" s="5">
        <f t="shared" si="1"/>
        <v>0.46</v>
      </c>
      <c r="I19" s="6" t="s">
        <v>13</v>
      </c>
      <c r="J19" s="5"/>
    </row>
    <row r="20">
      <c r="A20" s="3">
        <v>19.0</v>
      </c>
      <c r="B20" s="4" t="s">
        <v>10</v>
      </c>
      <c r="C20" s="3">
        <v>2.0</v>
      </c>
      <c r="D20" s="4" t="s">
        <v>47</v>
      </c>
      <c r="E20" s="4" t="s">
        <v>48</v>
      </c>
      <c r="F20" s="5"/>
      <c r="G20" s="4">
        <v>0.26</v>
      </c>
      <c r="H20" s="5">
        <f t="shared" si="1"/>
        <v>0.52</v>
      </c>
      <c r="I20" s="6" t="s">
        <v>13</v>
      </c>
      <c r="J20" s="5"/>
    </row>
    <row r="21">
      <c r="A21" s="3">
        <v>20.0</v>
      </c>
      <c r="B21" s="4" t="s">
        <v>28</v>
      </c>
      <c r="C21" s="3">
        <v>2.0</v>
      </c>
      <c r="D21" s="4" t="s">
        <v>49</v>
      </c>
      <c r="E21" s="4" t="s">
        <v>50</v>
      </c>
      <c r="F21" s="5"/>
      <c r="G21" s="4">
        <v>0.1</v>
      </c>
      <c r="H21" s="5">
        <f t="shared" si="1"/>
        <v>0.2</v>
      </c>
      <c r="I21" s="6" t="s">
        <v>13</v>
      </c>
      <c r="J21" s="5"/>
    </row>
    <row r="22">
      <c r="A22" s="3">
        <v>21.0</v>
      </c>
      <c r="B22" s="4" t="s">
        <v>10</v>
      </c>
      <c r="C22" s="3">
        <v>2.0</v>
      </c>
      <c r="D22" s="4" t="s">
        <v>51</v>
      </c>
      <c r="E22" s="4" t="s">
        <v>52</v>
      </c>
      <c r="F22" s="5"/>
      <c r="G22" s="4">
        <v>0.1</v>
      </c>
      <c r="H22" s="5">
        <f t="shared" si="1"/>
        <v>0.2</v>
      </c>
      <c r="I22" s="6" t="s">
        <v>13</v>
      </c>
      <c r="J22" s="5"/>
    </row>
    <row r="23">
      <c r="A23" s="3">
        <v>22.0</v>
      </c>
      <c r="B23" s="4" t="s">
        <v>10</v>
      </c>
      <c r="C23" s="3">
        <v>2.0</v>
      </c>
      <c r="D23" s="4" t="s">
        <v>24</v>
      </c>
      <c r="E23" s="4" t="s">
        <v>53</v>
      </c>
      <c r="F23" s="5"/>
      <c r="G23" s="4">
        <v>0.1</v>
      </c>
      <c r="H23" s="5">
        <f t="shared" si="1"/>
        <v>0.2</v>
      </c>
      <c r="I23" s="5"/>
      <c r="J23" s="5"/>
    </row>
    <row r="24">
      <c r="A24" s="3">
        <v>23.0</v>
      </c>
      <c r="B24" s="4" t="s">
        <v>10</v>
      </c>
      <c r="C24" s="3">
        <v>1.0</v>
      </c>
      <c r="D24" s="4" t="s">
        <v>54</v>
      </c>
      <c r="E24" s="4" t="s">
        <v>55</v>
      </c>
      <c r="F24" s="5"/>
      <c r="G24" s="4">
        <v>0.1</v>
      </c>
      <c r="H24" s="5">
        <f t="shared" si="1"/>
        <v>0.1</v>
      </c>
      <c r="I24" s="6" t="s">
        <v>13</v>
      </c>
      <c r="J24" s="5"/>
    </row>
    <row r="25">
      <c r="A25" s="3">
        <v>24.0</v>
      </c>
      <c r="B25" s="4" t="s">
        <v>10</v>
      </c>
      <c r="C25" s="3">
        <v>1.0</v>
      </c>
      <c r="D25" s="4" t="s">
        <v>24</v>
      </c>
      <c r="E25" s="4" t="s">
        <v>56</v>
      </c>
      <c r="F25" s="5"/>
      <c r="G25" s="4">
        <v>0.5</v>
      </c>
      <c r="H25" s="5">
        <f t="shared" si="1"/>
        <v>0.5</v>
      </c>
      <c r="I25" s="6" t="s">
        <v>57</v>
      </c>
      <c r="J25" s="5"/>
    </row>
    <row r="26">
      <c r="A26" s="3">
        <v>25.0</v>
      </c>
      <c r="B26" s="4" t="s">
        <v>10</v>
      </c>
      <c r="C26" s="3">
        <v>40.0</v>
      </c>
      <c r="D26" s="4" t="s">
        <v>58</v>
      </c>
      <c r="E26" s="4" t="s">
        <v>59</v>
      </c>
      <c r="F26" s="5"/>
      <c r="G26" s="4">
        <v>0.14</v>
      </c>
      <c r="H26" s="5">
        <f t="shared" si="1"/>
        <v>5.6</v>
      </c>
      <c r="I26" s="6" t="s">
        <v>13</v>
      </c>
      <c r="J26" s="5"/>
    </row>
    <row r="27">
      <c r="A27" s="3">
        <v>26.0</v>
      </c>
      <c r="B27" s="4" t="s">
        <v>10</v>
      </c>
      <c r="C27" s="3">
        <v>2.0</v>
      </c>
      <c r="D27" s="4" t="s">
        <v>60</v>
      </c>
      <c r="E27" s="4" t="s">
        <v>61</v>
      </c>
      <c r="F27" s="5"/>
      <c r="G27" s="4">
        <v>0.69</v>
      </c>
      <c r="H27" s="5">
        <f t="shared" si="1"/>
        <v>1.38</v>
      </c>
      <c r="I27" s="6" t="s">
        <v>13</v>
      </c>
      <c r="J27" s="5"/>
    </row>
    <row r="28">
      <c r="A28" s="3">
        <v>27.0</v>
      </c>
      <c r="B28" s="4" t="s">
        <v>10</v>
      </c>
      <c r="C28" s="3">
        <v>1.0</v>
      </c>
      <c r="D28" s="4" t="s">
        <v>62</v>
      </c>
      <c r="E28" s="4" t="s">
        <v>63</v>
      </c>
      <c r="F28" s="5"/>
      <c r="G28" s="4">
        <v>0.23</v>
      </c>
      <c r="H28" s="5">
        <f t="shared" si="1"/>
        <v>0.23</v>
      </c>
      <c r="I28" s="6" t="s">
        <v>13</v>
      </c>
      <c r="J28" s="5"/>
    </row>
    <row r="29">
      <c r="A29" s="3">
        <v>28.0</v>
      </c>
      <c r="B29" s="4" t="s">
        <v>10</v>
      </c>
      <c r="C29" s="3">
        <v>1.0</v>
      </c>
      <c r="D29" s="4" t="s">
        <v>64</v>
      </c>
      <c r="E29" s="4" t="s">
        <v>65</v>
      </c>
      <c r="F29" s="5"/>
      <c r="G29" s="4">
        <v>0.23</v>
      </c>
      <c r="H29" s="5">
        <f t="shared" si="1"/>
        <v>0.23</v>
      </c>
      <c r="I29" s="6" t="s">
        <v>13</v>
      </c>
      <c r="J29" s="5"/>
    </row>
    <row r="30">
      <c r="A30" s="3">
        <v>29.0</v>
      </c>
      <c r="B30" s="4" t="s">
        <v>10</v>
      </c>
      <c r="C30" s="3">
        <v>1.0</v>
      </c>
      <c r="D30" s="4" t="s">
        <v>66</v>
      </c>
      <c r="E30" s="4" t="s">
        <v>67</v>
      </c>
      <c r="F30" s="5"/>
      <c r="G30" s="4">
        <v>0.45</v>
      </c>
      <c r="H30" s="5">
        <f t="shared" si="1"/>
        <v>0.45</v>
      </c>
      <c r="I30" s="6" t="s">
        <v>13</v>
      </c>
      <c r="J30" s="5"/>
    </row>
    <row r="31">
      <c r="A31" s="3">
        <v>30.0</v>
      </c>
      <c r="B31" s="4" t="s">
        <v>10</v>
      </c>
      <c r="C31" s="3">
        <v>3.0</v>
      </c>
      <c r="D31" s="4" t="s">
        <v>68</v>
      </c>
      <c r="E31" s="4" t="s">
        <v>69</v>
      </c>
      <c r="F31" s="5"/>
      <c r="G31" s="4">
        <v>1.24</v>
      </c>
      <c r="H31" s="5">
        <f t="shared" si="1"/>
        <v>3.72</v>
      </c>
      <c r="I31" s="6" t="s">
        <v>13</v>
      </c>
      <c r="J31" s="5"/>
    </row>
    <row r="32">
      <c r="A32" s="3">
        <v>31.0</v>
      </c>
      <c r="B32" s="4" t="s">
        <v>28</v>
      </c>
      <c r="C32" s="3">
        <v>1.0</v>
      </c>
      <c r="D32" s="4" t="s">
        <v>70</v>
      </c>
      <c r="E32" s="4" t="s">
        <v>71</v>
      </c>
      <c r="F32" s="5"/>
      <c r="G32" s="4">
        <v>7.55</v>
      </c>
      <c r="H32" s="5">
        <f t="shared" si="1"/>
        <v>7.55</v>
      </c>
      <c r="I32" s="6" t="s">
        <v>13</v>
      </c>
      <c r="J32" s="5"/>
    </row>
    <row r="33">
      <c r="A33" s="3">
        <v>32.0</v>
      </c>
      <c r="B33" s="4" t="s">
        <v>28</v>
      </c>
      <c r="C33" s="3">
        <v>1.0</v>
      </c>
      <c r="D33" s="4" t="s">
        <v>72</v>
      </c>
      <c r="E33" s="4" t="s">
        <v>73</v>
      </c>
      <c r="F33" s="5"/>
      <c r="G33" s="4">
        <v>0.67</v>
      </c>
      <c r="H33" s="5">
        <f t="shared" si="1"/>
        <v>0.67</v>
      </c>
      <c r="I33" s="6" t="s">
        <v>13</v>
      </c>
      <c r="J33" s="5"/>
    </row>
    <row r="34">
      <c r="A34" s="3">
        <v>33.0</v>
      </c>
      <c r="B34" s="4" t="s">
        <v>10</v>
      </c>
      <c r="C34" s="3">
        <v>1.0</v>
      </c>
      <c r="D34" s="4" t="s">
        <v>74</v>
      </c>
      <c r="E34" s="4" t="s">
        <v>75</v>
      </c>
      <c r="F34" s="5"/>
      <c r="G34" s="4">
        <v>4.65</v>
      </c>
      <c r="H34" s="5">
        <f t="shared" si="1"/>
        <v>4.65</v>
      </c>
      <c r="I34" s="6" t="s">
        <v>13</v>
      </c>
      <c r="J34" s="5"/>
    </row>
    <row r="35">
      <c r="A35" s="3">
        <v>34.0</v>
      </c>
      <c r="B35" s="4" t="s">
        <v>10</v>
      </c>
      <c r="C35" s="3">
        <v>1.0</v>
      </c>
      <c r="D35" s="4" t="s">
        <v>76</v>
      </c>
      <c r="E35" s="4" t="s">
        <v>77</v>
      </c>
      <c r="F35" s="5"/>
      <c r="G35" s="4">
        <v>1.3</v>
      </c>
      <c r="H35" s="5">
        <f t="shared" si="1"/>
        <v>1.3</v>
      </c>
      <c r="I35" s="6" t="s">
        <v>13</v>
      </c>
      <c r="J35" s="5"/>
    </row>
    <row r="36">
      <c r="A36" s="3">
        <v>35.0</v>
      </c>
      <c r="B36" s="4" t="s">
        <v>10</v>
      </c>
      <c r="C36" s="3">
        <v>1.0</v>
      </c>
      <c r="D36" s="4" t="s">
        <v>78</v>
      </c>
      <c r="E36" s="4" t="s">
        <v>79</v>
      </c>
      <c r="F36" s="5"/>
      <c r="G36" s="4">
        <v>0.5</v>
      </c>
      <c r="H36" s="5">
        <f t="shared" si="1"/>
        <v>0.5</v>
      </c>
      <c r="I36" s="6" t="s">
        <v>13</v>
      </c>
      <c r="J36" s="5"/>
    </row>
    <row r="37">
      <c r="A37" s="3">
        <v>36.0</v>
      </c>
      <c r="B37" s="4" t="s">
        <v>10</v>
      </c>
      <c r="C37" s="3">
        <v>1.0</v>
      </c>
      <c r="D37" s="4" t="s">
        <v>80</v>
      </c>
      <c r="E37" s="4" t="s">
        <v>81</v>
      </c>
      <c r="F37" s="5"/>
      <c r="G37" s="4">
        <v>20.0</v>
      </c>
      <c r="H37" s="5">
        <f t="shared" si="1"/>
        <v>20</v>
      </c>
      <c r="I37" s="6" t="s">
        <v>57</v>
      </c>
      <c r="J37" s="5"/>
    </row>
    <row r="38">
      <c r="A38" s="3">
        <v>37.0</v>
      </c>
      <c r="B38" s="4" t="s">
        <v>10</v>
      </c>
      <c r="C38" s="3">
        <v>2.0</v>
      </c>
      <c r="D38" s="4" t="s">
        <v>24</v>
      </c>
      <c r="E38" s="4" t="s">
        <v>82</v>
      </c>
      <c r="F38" s="5"/>
      <c r="G38" s="4">
        <v>0.0</v>
      </c>
      <c r="H38" s="5">
        <f t="shared" si="1"/>
        <v>0</v>
      </c>
      <c r="I38" s="5"/>
      <c r="J38" s="4" t="s">
        <v>83</v>
      </c>
    </row>
    <row r="39">
      <c r="A39" s="3">
        <v>38.0</v>
      </c>
      <c r="B39" s="4" t="s">
        <v>10</v>
      </c>
      <c r="C39" s="3">
        <v>1.0</v>
      </c>
      <c r="D39" s="4" t="s">
        <v>84</v>
      </c>
      <c r="E39" s="4" t="s">
        <v>85</v>
      </c>
      <c r="F39" s="5"/>
      <c r="G39" s="4">
        <v>0.83</v>
      </c>
      <c r="H39" s="5">
        <f t="shared" si="1"/>
        <v>0.83</v>
      </c>
      <c r="I39" s="6" t="s">
        <v>13</v>
      </c>
      <c r="J39" s="5"/>
    </row>
    <row r="40">
      <c r="A40" s="3">
        <v>39.0</v>
      </c>
      <c r="B40" s="4" t="s">
        <v>10</v>
      </c>
      <c r="C40" s="3">
        <v>2.0</v>
      </c>
      <c r="D40" s="4" t="s">
        <v>86</v>
      </c>
      <c r="E40" s="4" t="s">
        <v>87</v>
      </c>
      <c r="F40" s="5"/>
      <c r="G40" s="4">
        <v>0.38</v>
      </c>
      <c r="H40" s="5">
        <f t="shared" si="1"/>
        <v>0.76</v>
      </c>
      <c r="I40" s="6" t="s">
        <v>13</v>
      </c>
      <c r="J40" s="5"/>
    </row>
    <row r="41">
      <c r="A41" s="3">
        <v>40.0</v>
      </c>
      <c r="B41" s="4" t="s">
        <v>10</v>
      </c>
      <c r="C41" s="3">
        <v>1.0</v>
      </c>
      <c r="D41" s="4" t="s">
        <v>88</v>
      </c>
      <c r="E41" s="4" t="s">
        <v>89</v>
      </c>
      <c r="F41" s="5"/>
      <c r="G41" s="4">
        <v>0.37</v>
      </c>
      <c r="H41" s="5">
        <f t="shared" si="1"/>
        <v>0.37</v>
      </c>
      <c r="I41" s="6" t="s">
        <v>13</v>
      </c>
      <c r="J41" s="5"/>
    </row>
    <row r="42">
      <c r="A42" s="3">
        <v>41.0</v>
      </c>
      <c r="B42" s="4" t="s">
        <v>10</v>
      </c>
      <c r="C42" s="3">
        <v>1.0</v>
      </c>
      <c r="D42" s="4" t="s">
        <v>90</v>
      </c>
      <c r="E42" s="4" t="s">
        <v>91</v>
      </c>
      <c r="F42" s="5"/>
      <c r="G42" s="4">
        <v>3.54</v>
      </c>
      <c r="H42" s="5">
        <f t="shared" si="1"/>
        <v>3.54</v>
      </c>
      <c r="I42" s="6" t="s">
        <v>13</v>
      </c>
      <c r="J42" s="5"/>
    </row>
    <row r="43">
      <c r="A43" s="3">
        <v>42.0</v>
      </c>
      <c r="B43" s="4" t="s">
        <v>10</v>
      </c>
      <c r="C43" s="3">
        <v>8.0</v>
      </c>
      <c r="D43" s="3">
        <v>1985195.0</v>
      </c>
      <c r="E43" s="4" t="s">
        <v>92</v>
      </c>
      <c r="F43" s="5"/>
      <c r="G43" s="4">
        <v>0.37</v>
      </c>
      <c r="H43" s="5">
        <f t="shared" si="1"/>
        <v>2.96</v>
      </c>
      <c r="I43" s="6" t="s">
        <v>13</v>
      </c>
      <c r="J43" s="5"/>
    </row>
    <row r="44">
      <c r="A44" s="3">
        <v>43.0</v>
      </c>
      <c r="B44" s="4" t="s">
        <v>10</v>
      </c>
      <c r="C44" s="3">
        <v>7.0</v>
      </c>
      <c r="D44" s="4" t="s">
        <v>93</v>
      </c>
      <c r="E44" s="4" t="s">
        <v>93</v>
      </c>
      <c r="F44" s="5"/>
      <c r="G44" s="4">
        <v>0.52</v>
      </c>
      <c r="H44" s="5">
        <f t="shared" si="1"/>
        <v>3.64</v>
      </c>
      <c r="I44" s="6" t="s">
        <v>13</v>
      </c>
      <c r="J44" s="5"/>
    </row>
    <row r="45">
      <c r="A45" s="3">
        <v>44.0</v>
      </c>
      <c r="B45" s="4" t="s">
        <v>10</v>
      </c>
      <c r="C45" s="3">
        <v>4.0</v>
      </c>
      <c r="D45" s="4" t="s">
        <v>94</v>
      </c>
      <c r="E45" s="4" t="s">
        <v>95</v>
      </c>
      <c r="F45" s="5"/>
      <c r="G45" s="4">
        <v>0.26</v>
      </c>
      <c r="H45" s="5">
        <f t="shared" si="1"/>
        <v>1.04</v>
      </c>
      <c r="I45" s="6" t="s">
        <v>13</v>
      </c>
      <c r="J45" s="5"/>
    </row>
    <row r="46">
      <c r="A46" s="3">
        <v>45.0</v>
      </c>
      <c r="B46" s="4" t="s">
        <v>10</v>
      </c>
      <c r="C46" s="3">
        <v>3.0</v>
      </c>
      <c r="D46" s="4" t="s">
        <v>96</v>
      </c>
      <c r="E46" s="4" t="s">
        <v>97</v>
      </c>
      <c r="F46" s="5"/>
      <c r="G46" s="4">
        <v>2.93</v>
      </c>
      <c r="H46" s="5">
        <f t="shared" si="1"/>
        <v>8.79</v>
      </c>
      <c r="I46" s="6" t="s">
        <v>13</v>
      </c>
      <c r="J46" s="5"/>
    </row>
    <row r="47">
      <c r="A47" s="3">
        <v>46.0</v>
      </c>
      <c r="B47" s="4" t="s">
        <v>10</v>
      </c>
      <c r="C47" s="3">
        <v>2.0</v>
      </c>
      <c r="D47" s="4" t="s">
        <v>98</v>
      </c>
      <c r="E47" s="4" t="s">
        <v>99</v>
      </c>
      <c r="F47" s="5"/>
      <c r="G47" s="4">
        <v>0.22</v>
      </c>
      <c r="H47" s="5">
        <f t="shared" si="1"/>
        <v>0.44</v>
      </c>
      <c r="I47" s="6" t="s">
        <v>13</v>
      </c>
      <c r="J47" s="5"/>
    </row>
    <row r="48">
      <c r="A48" s="3">
        <v>47.0</v>
      </c>
      <c r="B48" s="4" t="s">
        <v>10</v>
      </c>
      <c r="C48" s="3">
        <v>2.0</v>
      </c>
      <c r="D48" s="4" t="s">
        <v>100</v>
      </c>
      <c r="E48" s="4" t="s">
        <v>101</v>
      </c>
      <c r="F48" s="5"/>
      <c r="G48" s="4">
        <v>0.22</v>
      </c>
      <c r="H48" s="5">
        <f t="shared" si="1"/>
        <v>0.44</v>
      </c>
      <c r="I48" s="6" t="s">
        <v>13</v>
      </c>
      <c r="J48" s="5"/>
    </row>
    <row r="49">
      <c r="A49" s="3">
        <v>48.0</v>
      </c>
      <c r="B49" s="4" t="s">
        <v>10</v>
      </c>
      <c r="C49" s="3">
        <v>1.0</v>
      </c>
      <c r="D49" s="4" t="s">
        <v>102</v>
      </c>
      <c r="E49" s="4" t="s">
        <v>103</v>
      </c>
      <c r="F49" s="5"/>
      <c r="G49" s="4">
        <v>0.38</v>
      </c>
      <c r="H49" s="5">
        <f t="shared" si="1"/>
        <v>0.38</v>
      </c>
      <c r="I49" s="6" t="s">
        <v>13</v>
      </c>
      <c r="J49" s="5"/>
    </row>
    <row r="50">
      <c r="A50" s="3">
        <v>49.0</v>
      </c>
      <c r="B50" s="4" t="s">
        <v>10</v>
      </c>
      <c r="C50" s="3">
        <v>2.0</v>
      </c>
      <c r="D50" s="4" t="s">
        <v>24</v>
      </c>
      <c r="E50" s="4" t="s">
        <v>104</v>
      </c>
      <c r="F50" s="5"/>
      <c r="G50" s="4">
        <v>0.0</v>
      </c>
      <c r="H50" s="5">
        <f t="shared" si="1"/>
        <v>0</v>
      </c>
      <c r="I50" s="5"/>
      <c r="J50" s="4" t="s">
        <v>105</v>
      </c>
    </row>
    <row r="51">
      <c r="A51" s="3">
        <v>50.0</v>
      </c>
      <c r="B51" s="4" t="s">
        <v>10</v>
      </c>
      <c r="C51" s="3">
        <v>1.0</v>
      </c>
      <c r="D51" s="4" t="s">
        <v>106</v>
      </c>
      <c r="E51" s="4" t="s">
        <v>107</v>
      </c>
      <c r="F51" s="5"/>
      <c r="G51" s="4">
        <v>1.11</v>
      </c>
      <c r="H51" s="5">
        <f t="shared" si="1"/>
        <v>1.11</v>
      </c>
      <c r="I51" s="6" t="s">
        <v>13</v>
      </c>
      <c r="J51" s="5"/>
    </row>
    <row r="52">
      <c r="A52" s="3">
        <v>51.0</v>
      </c>
      <c r="B52" s="4" t="s">
        <v>10</v>
      </c>
      <c r="C52" s="3">
        <v>1.0</v>
      </c>
      <c r="D52" s="4" t="s">
        <v>108</v>
      </c>
      <c r="E52" s="4" t="s">
        <v>109</v>
      </c>
      <c r="F52" s="5"/>
      <c r="G52" s="4">
        <v>1.37</v>
      </c>
      <c r="H52" s="5">
        <f t="shared" si="1"/>
        <v>1.37</v>
      </c>
      <c r="I52" s="6" t="s">
        <v>13</v>
      </c>
      <c r="J52" s="5"/>
    </row>
    <row r="53">
      <c r="A53" s="3">
        <v>52.0</v>
      </c>
      <c r="B53" s="4" t="s">
        <v>10</v>
      </c>
      <c r="C53" s="3">
        <v>1.0</v>
      </c>
      <c r="D53" s="4" t="s">
        <v>110</v>
      </c>
      <c r="E53" s="4" t="s">
        <v>111</v>
      </c>
      <c r="F53" s="5"/>
      <c r="G53" s="4">
        <v>2.0</v>
      </c>
      <c r="H53" s="5">
        <f t="shared" si="1"/>
        <v>2</v>
      </c>
      <c r="I53" s="6" t="s">
        <v>57</v>
      </c>
      <c r="J53" s="5"/>
    </row>
    <row r="54">
      <c r="A54" s="3">
        <v>53.0</v>
      </c>
      <c r="B54" s="4" t="s">
        <v>10</v>
      </c>
      <c r="C54" s="3">
        <v>1.0</v>
      </c>
      <c r="D54" s="4" t="s">
        <v>24</v>
      </c>
      <c r="E54" s="4" t="s">
        <v>112</v>
      </c>
      <c r="F54" s="5"/>
      <c r="G54" s="4">
        <v>11.0</v>
      </c>
      <c r="H54" s="5">
        <f t="shared" si="1"/>
        <v>11</v>
      </c>
      <c r="I54" s="6" t="s">
        <v>57</v>
      </c>
      <c r="J54" s="5"/>
    </row>
    <row r="55">
      <c r="A55" s="3">
        <v>54.0</v>
      </c>
      <c r="B55" s="4" t="s">
        <v>10</v>
      </c>
      <c r="C55" s="3">
        <v>10.0</v>
      </c>
      <c r="D55" s="4" t="s">
        <v>113</v>
      </c>
      <c r="E55" s="4" t="s">
        <v>114</v>
      </c>
      <c r="F55" s="5"/>
      <c r="G55" s="4">
        <v>0.81</v>
      </c>
      <c r="H55" s="5">
        <f t="shared" si="1"/>
        <v>8.1</v>
      </c>
      <c r="I55" s="6" t="s">
        <v>13</v>
      </c>
      <c r="J55" s="5"/>
    </row>
    <row r="56">
      <c r="A56" s="3">
        <v>55.0</v>
      </c>
      <c r="B56" s="4" t="s">
        <v>10</v>
      </c>
      <c r="C56" s="3">
        <v>3.0</v>
      </c>
      <c r="D56" s="3">
        <v>6.1301021821E10</v>
      </c>
      <c r="E56" s="4" t="s">
        <v>115</v>
      </c>
      <c r="F56" s="5"/>
      <c r="G56" s="4">
        <v>1.58</v>
      </c>
      <c r="H56" s="5">
        <f t="shared" si="1"/>
        <v>4.74</v>
      </c>
      <c r="I56" s="6" t="s">
        <v>13</v>
      </c>
      <c r="J56" s="5"/>
    </row>
    <row r="57">
      <c r="A57" s="3">
        <v>56.0</v>
      </c>
      <c r="B57" s="4" t="s">
        <v>10</v>
      </c>
      <c r="C57" s="3">
        <v>1.0</v>
      </c>
      <c r="D57" s="4" t="s">
        <v>116</v>
      </c>
      <c r="E57" s="4" t="s">
        <v>117</v>
      </c>
      <c r="F57" s="5"/>
      <c r="G57" s="4">
        <v>0.62</v>
      </c>
      <c r="H57" s="5">
        <f t="shared" si="1"/>
        <v>0.62</v>
      </c>
      <c r="I57" s="6" t="s">
        <v>13</v>
      </c>
      <c r="J57" s="5"/>
    </row>
    <row r="58">
      <c r="A58" s="3">
        <v>57.0</v>
      </c>
      <c r="B58" s="4" t="s">
        <v>10</v>
      </c>
      <c r="C58" s="3">
        <v>1.0</v>
      </c>
      <c r="D58" s="4" t="s">
        <v>118</v>
      </c>
      <c r="E58" s="4" t="s">
        <v>119</v>
      </c>
      <c r="F58" s="5"/>
      <c r="G58" s="4">
        <v>0.58</v>
      </c>
      <c r="H58" s="5">
        <f t="shared" si="1"/>
        <v>0.58</v>
      </c>
      <c r="I58" s="6" t="s">
        <v>13</v>
      </c>
      <c r="J58" s="5"/>
    </row>
    <row r="59">
      <c r="A59" s="3">
        <v>58.0</v>
      </c>
      <c r="B59" s="4" t="s">
        <v>10</v>
      </c>
      <c r="C59" s="3">
        <v>1.0</v>
      </c>
      <c r="D59" s="3">
        <v>9.7384645E7</v>
      </c>
      <c r="E59" s="4" t="s">
        <v>120</v>
      </c>
      <c r="F59" s="5"/>
      <c r="G59" s="4">
        <v>0.34</v>
      </c>
      <c r="H59" s="5">
        <f t="shared" si="1"/>
        <v>0.34</v>
      </c>
      <c r="I59" s="6" t="s">
        <v>13</v>
      </c>
      <c r="J59" s="5"/>
    </row>
    <row r="60">
      <c r="A60" s="3">
        <v>59.0</v>
      </c>
      <c r="B60" s="4" t="s">
        <v>121</v>
      </c>
      <c r="C60" s="3">
        <v>8.0</v>
      </c>
      <c r="D60" s="4" t="s">
        <v>11</v>
      </c>
      <c r="E60" s="4" t="s">
        <v>122</v>
      </c>
      <c r="F60" s="5"/>
      <c r="G60" s="4">
        <v>0.1</v>
      </c>
      <c r="H60" s="5">
        <f t="shared" si="1"/>
        <v>0.8</v>
      </c>
      <c r="I60" s="6" t="s">
        <v>13</v>
      </c>
      <c r="J60" s="5"/>
    </row>
    <row r="61">
      <c r="A61" s="3">
        <v>60.0</v>
      </c>
      <c r="B61" s="4" t="s">
        <v>121</v>
      </c>
      <c r="C61" s="3">
        <v>6.0</v>
      </c>
      <c r="D61" s="4" t="s">
        <v>123</v>
      </c>
      <c r="E61" s="4" t="s">
        <v>124</v>
      </c>
      <c r="F61" s="5"/>
      <c r="G61" s="4">
        <v>0.19</v>
      </c>
      <c r="H61" s="5">
        <f t="shared" si="1"/>
        <v>1.14</v>
      </c>
      <c r="I61" s="6" t="s">
        <v>13</v>
      </c>
      <c r="J61" s="5"/>
    </row>
    <row r="62">
      <c r="A62" s="3">
        <v>61.0</v>
      </c>
      <c r="B62" s="4" t="s">
        <v>121</v>
      </c>
      <c r="C62" s="3">
        <v>6.0</v>
      </c>
      <c r="D62" s="4" t="s">
        <v>125</v>
      </c>
      <c r="E62" s="4" t="s">
        <v>126</v>
      </c>
      <c r="F62" s="5"/>
      <c r="G62" s="4">
        <v>0.12</v>
      </c>
      <c r="H62" s="5">
        <f t="shared" si="1"/>
        <v>0.72</v>
      </c>
      <c r="I62" s="6" t="s">
        <v>13</v>
      </c>
      <c r="J62" s="5"/>
    </row>
    <row r="63">
      <c r="A63" s="3">
        <v>62.0</v>
      </c>
      <c r="B63" s="4" t="s">
        <v>127</v>
      </c>
      <c r="C63" s="3">
        <v>6.0</v>
      </c>
      <c r="D63" s="4" t="s">
        <v>58</v>
      </c>
      <c r="E63" s="4" t="s">
        <v>128</v>
      </c>
      <c r="F63" s="5"/>
      <c r="G63" s="4">
        <v>0.14</v>
      </c>
      <c r="H63" s="5">
        <f t="shared" si="1"/>
        <v>0.84</v>
      </c>
      <c r="I63" s="6" t="s">
        <v>13</v>
      </c>
      <c r="J63" s="5"/>
    </row>
    <row r="64">
      <c r="A64" s="3">
        <v>63.0</v>
      </c>
      <c r="B64" s="4" t="s">
        <v>121</v>
      </c>
      <c r="C64" s="3">
        <v>8.0</v>
      </c>
      <c r="D64" s="4" t="s">
        <v>129</v>
      </c>
      <c r="E64" s="4" t="s">
        <v>130</v>
      </c>
      <c r="F64" s="5"/>
      <c r="G64" s="4">
        <v>1.47</v>
      </c>
      <c r="H64" s="5">
        <f t="shared" si="1"/>
        <v>11.76</v>
      </c>
      <c r="I64" s="6" t="s">
        <v>13</v>
      </c>
      <c r="J64" s="5"/>
    </row>
    <row r="65">
      <c r="A65" s="3">
        <v>64.0</v>
      </c>
      <c r="B65" s="4" t="s">
        <v>121</v>
      </c>
      <c r="C65" s="3">
        <v>6.0</v>
      </c>
      <c r="D65" s="4" t="s">
        <v>131</v>
      </c>
      <c r="E65" s="4" t="s">
        <v>132</v>
      </c>
      <c r="F65" s="5"/>
      <c r="G65" s="5"/>
      <c r="H65" s="4">
        <v>50.0</v>
      </c>
      <c r="I65" s="6" t="s">
        <v>133</v>
      </c>
      <c r="J65" s="5"/>
    </row>
    <row r="66">
      <c r="A66" s="3">
        <v>65.0</v>
      </c>
      <c r="B66" s="4" t="s">
        <v>121</v>
      </c>
      <c r="C66" s="7">
        <f>6*12</f>
        <v>72</v>
      </c>
      <c r="D66" s="4" t="s">
        <v>24</v>
      </c>
      <c r="E66" s="4" t="s">
        <v>134</v>
      </c>
      <c r="F66" s="5"/>
      <c r="G66" s="5"/>
      <c r="H66" s="4">
        <v>10.0</v>
      </c>
      <c r="I66" s="6" t="s">
        <v>57</v>
      </c>
      <c r="J66" s="5"/>
    </row>
    <row r="67">
      <c r="A67" s="3">
        <v>66.0</v>
      </c>
      <c r="B67" s="4" t="s">
        <v>121</v>
      </c>
      <c r="C67" s="3">
        <v>6.0</v>
      </c>
      <c r="D67" s="4" t="s">
        <v>135</v>
      </c>
      <c r="E67" s="4" t="s">
        <v>136</v>
      </c>
      <c r="F67" s="5"/>
      <c r="G67" s="5"/>
      <c r="H67" s="4">
        <v>20.0</v>
      </c>
      <c r="I67" s="6" t="s">
        <v>133</v>
      </c>
      <c r="J67" s="5"/>
    </row>
    <row r="68">
      <c r="A68" s="3">
        <v>67.0</v>
      </c>
      <c r="B68" s="4" t="s">
        <v>121</v>
      </c>
      <c r="C68" s="3">
        <v>6.0</v>
      </c>
      <c r="D68" s="4" t="s">
        <v>137</v>
      </c>
      <c r="E68" s="4" t="s">
        <v>138</v>
      </c>
      <c r="F68" s="5"/>
      <c r="G68" s="4">
        <v>0.0</v>
      </c>
      <c r="H68" s="5">
        <f t="shared" ref="H68:H74" si="2">G68*C68</f>
        <v>0</v>
      </c>
      <c r="I68" s="5"/>
      <c r="J68" s="4" t="s">
        <v>139</v>
      </c>
    </row>
    <row r="69">
      <c r="A69" s="3">
        <v>68.0</v>
      </c>
      <c r="B69" s="4" t="s">
        <v>121</v>
      </c>
      <c r="C69" s="3">
        <v>3.0</v>
      </c>
      <c r="D69" s="4" t="s">
        <v>24</v>
      </c>
      <c r="E69" s="4" t="s">
        <v>140</v>
      </c>
      <c r="F69" s="5"/>
      <c r="G69" s="4">
        <v>0.0</v>
      </c>
      <c r="H69" s="5">
        <f t="shared" si="2"/>
        <v>0</v>
      </c>
      <c r="I69" s="5"/>
      <c r="J69" s="4" t="s">
        <v>105</v>
      </c>
    </row>
    <row r="70">
      <c r="A70" s="3">
        <v>69.0</v>
      </c>
      <c r="B70" s="4" t="s">
        <v>121</v>
      </c>
      <c r="C70" s="3">
        <v>3.0</v>
      </c>
      <c r="D70" s="3">
        <v>6.10110249121E11</v>
      </c>
      <c r="E70" s="4" t="s">
        <v>141</v>
      </c>
      <c r="F70" s="5"/>
      <c r="G70" s="4">
        <v>2.16</v>
      </c>
      <c r="H70" s="5">
        <f t="shared" si="2"/>
        <v>6.48</v>
      </c>
      <c r="I70" s="6" t="s">
        <v>13</v>
      </c>
      <c r="J70" s="5"/>
    </row>
    <row r="71">
      <c r="A71" s="3">
        <v>70.0</v>
      </c>
      <c r="B71" s="4" t="s">
        <v>142</v>
      </c>
      <c r="C71" s="3">
        <v>6.0</v>
      </c>
      <c r="D71" s="4" t="s">
        <v>11</v>
      </c>
      <c r="E71" s="4" t="s">
        <v>122</v>
      </c>
      <c r="F71" s="5"/>
      <c r="G71" s="4">
        <v>0.1</v>
      </c>
      <c r="H71" s="5">
        <f t="shared" si="2"/>
        <v>0.6</v>
      </c>
      <c r="I71" s="6" t="s">
        <v>13</v>
      </c>
      <c r="J71" s="5"/>
    </row>
    <row r="72">
      <c r="A72" s="3">
        <v>71.0</v>
      </c>
      <c r="B72" s="4" t="s">
        <v>142</v>
      </c>
      <c r="C72" s="3">
        <v>1.0</v>
      </c>
      <c r="D72" s="4" t="s">
        <v>32</v>
      </c>
      <c r="E72" s="4" t="s">
        <v>33</v>
      </c>
      <c r="F72" s="5"/>
      <c r="G72" s="4">
        <v>0.1</v>
      </c>
      <c r="H72" s="5">
        <f t="shared" si="2"/>
        <v>0.1</v>
      </c>
      <c r="I72" s="6" t="s">
        <v>13</v>
      </c>
      <c r="J72" s="5"/>
    </row>
    <row r="73">
      <c r="A73" s="3">
        <v>72.0</v>
      </c>
      <c r="B73" s="4" t="s">
        <v>142</v>
      </c>
      <c r="C73" s="3">
        <v>6.0</v>
      </c>
      <c r="D73" s="4" t="s">
        <v>143</v>
      </c>
      <c r="E73" s="4" t="s">
        <v>144</v>
      </c>
      <c r="F73" s="5"/>
      <c r="G73" s="4">
        <v>0.0</v>
      </c>
      <c r="H73" s="5">
        <f t="shared" si="2"/>
        <v>0</v>
      </c>
      <c r="I73" s="5"/>
      <c r="J73" s="4" t="s">
        <v>105</v>
      </c>
    </row>
    <row r="74">
      <c r="A74" s="3">
        <v>73.0</v>
      </c>
      <c r="B74" s="4" t="s">
        <v>142</v>
      </c>
      <c r="C74" s="3">
        <v>2.0</v>
      </c>
      <c r="D74" s="5"/>
      <c r="E74" s="4" t="s">
        <v>145</v>
      </c>
      <c r="F74" s="5"/>
      <c r="G74" s="4">
        <v>0.0</v>
      </c>
      <c r="H74" s="5">
        <f t="shared" si="2"/>
        <v>0</v>
      </c>
      <c r="I74" s="5"/>
      <c r="J74" s="4" t="s">
        <v>105</v>
      </c>
    </row>
    <row r="75">
      <c r="A75" s="3">
        <v>74.0</v>
      </c>
      <c r="B75" s="4" t="s">
        <v>146</v>
      </c>
      <c r="C75" s="3">
        <v>1.0</v>
      </c>
      <c r="D75" s="5"/>
      <c r="E75" s="4" t="s">
        <v>147</v>
      </c>
      <c r="F75" s="5"/>
      <c r="G75" s="5"/>
      <c r="H75" s="4">
        <v>3.0</v>
      </c>
      <c r="I75" s="5"/>
      <c r="J75" s="4" t="s">
        <v>148</v>
      </c>
    </row>
    <row r="76">
      <c r="A76" s="3">
        <v>75.0</v>
      </c>
      <c r="B76" s="4" t="s">
        <v>146</v>
      </c>
      <c r="C76" s="7"/>
      <c r="D76" s="5"/>
      <c r="E76" s="4" t="s">
        <v>149</v>
      </c>
      <c r="F76" s="5"/>
      <c r="G76" s="5"/>
      <c r="H76" s="4">
        <v>19.0</v>
      </c>
      <c r="I76" s="6" t="s">
        <v>57</v>
      </c>
      <c r="J76" s="5"/>
    </row>
    <row r="77">
      <c r="A77" s="3">
        <v>76.0</v>
      </c>
      <c r="B77" s="4" t="s">
        <v>146</v>
      </c>
      <c r="C77" s="7"/>
      <c r="D77" s="5"/>
      <c r="E77" s="4" t="s">
        <v>150</v>
      </c>
      <c r="F77" s="5"/>
      <c r="G77" s="5"/>
      <c r="H77" s="4">
        <v>15.0</v>
      </c>
      <c r="I77" s="6" t="s">
        <v>57</v>
      </c>
      <c r="J77" s="5"/>
    </row>
    <row r="78">
      <c r="A78" s="3">
        <v>77.0</v>
      </c>
      <c r="B78" s="4" t="s">
        <v>146</v>
      </c>
      <c r="C78" s="7"/>
      <c r="D78" s="5"/>
      <c r="E78" s="4" t="s">
        <v>151</v>
      </c>
      <c r="F78" s="5"/>
      <c r="G78" s="5"/>
      <c r="H78" s="5"/>
      <c r="I78" s="5"/>
      <c r="J78" s="5"/>
    </row>
    <row r="79">
      <c r="A79" s="3">
        <v>78.0</v>
      </c>
      <c r="B79" s="4" t="s">
        <v>146</v>
      </c>
      <c r="C79" s="7"/>
      <c r="D79" s="5"/>
      <c r="E79" s="4" t="s">
        <v>152</v>
      </c>
      <c r="F79" s="5"/>
      <c r="G79" s="5"/>
      <c r="H79" s="4">
        <v>6.0</v>
      </c>
      <c r="I79" s="6" t="s">
        <v>57</v>
      </c>
      <c r="J79" s="5"/>
    </row>
    <row r="80">
      <c r="A80" s="3">
        <v>79.0</v>
      </c>
      <c r="B80" s="4" t="s">
        <v>146</v>
      </c>
      <c r="C80" s="7"/>
      <c r="D80" s="5"/>
      <c r="E80" s="4" t="s">
        <v>153</v>
      </c>
      <c r="F80" s="5"/>
      <c r="G80" s="5"/>
      <c r="H80" s="4">
        <v>7.0</v>
      </c>
      <c r="I80" s="6" t="s">
        <v>57</v>
      </c>
      <c r="J80" s="5"/>
    </row>
    <row r="81">
      <c r="A81" s="3">
        <v>80.0</v>
      </c>
      <c r="B81" s="4" t="s">
        <v>146</v>
      </c>
      <c r="C81" s="7"/>
      <c r="D81" s="5"/>
      <c r="E81" s="4" t="s">
        <v>154</v>
      </c>
      <c r="F81" s="5"/>
      <c r="G81" s="5"/>
      <c r="H81" s="4">
        <v>0.0</v>
      </c>
      <c r="I81" s="5"/>
      <c r="J81" s="4" t="s">
        <v>105</v>
      </c>
    </row>
    <row r="82">
      <c r="A82" s="3">
        <v>81.0</v>
      </c>
      <c r="B82" s="4" t="s">
        <v>146</v>
      </c>
      <c r="C82" s="7"/>
      <c r="D82" s="5"/>
      <c r="E82" s="4" t="s">
        <v>155</v>
      </c>
      <c r="F82" s="5"/>
      <c r="G82" s="5"/>
      <c r="H82" s="4">
        <v>0.0</v>
      </c>
      <c r="I82" s="5"/>
      <c r="J82" s="5"/>
    </row>
    <row r="83">
      <c r="A83" s="3">
        <v>82.0</v>
      </c>
      <c r="B83" s="4" t="s">
        <v>146</v>
      </c>
      <c r="C83" s="7"/>
      <c r="D83" s="5"/>
      <c r="E83" s="4" t="s">
        <v>156</v>
      </c>
      <c r="F83" s="5"/>
      <c r="G83" s="4"/>
      <c r="H83" s="4">
        <v>6.0</v>
      </c>
      <c r="I83" s="6" t="s">
        <v>57</v>
      </c>
      <c r="J83" s="5"/>
    </row>
    <row r="84">
      <c r="A84" s="3">
        <v>83.0</v>
      </c>
      <c r="B84" s="4" t="s">
        <v>146</v>
      </c>
      <c r="C84" s="7"/>
      <c r="D84" s="5"/>
      <c r="E84" s="4" t="s">
        <v>157</v>
      </c>
      <c r="F84" s="5"/>
      <c r="G84" s="5"/>
      <c r="H84" s="4">
        <v>21.0</v>
      </c>
      <c r="I84" s="6" t="s">
        <v>57</v>
      </c>
      <c r="J84" s="5"/>
    </row>
    <row r="85">
      <c r="A85" s="3">
        <v>84.0</v>
      </c>
      <c r="B85" s="4" t="s">
        <v>146</v>
      </c>
      <c r="C85" s="7"/>
      <c r="D85" s="5"/>
      <c r="E85" s="4" t="s">
        <v>158</v>
      </c>
      <c r="F85" s="5"/>
      <c r="G85" s="5"/>
      <c r="H85" s="4">
        <v>5.5</v>
      </c>
      <c r="I85" s="6" t="s">
        <v>57</v>
      </c>
      <c r="J85" s="5"/>
    </row>
    <row r="86">
      <c r="A86" s="3">
        <v>85.0</v>
      </c>
      <c r="B86" s="4" t="s">
        <v>146</v>
      </c>
      <c r="C86" s="7"/>
      <c r="D86" s="5"/>
      <c r="E86" s="4" t="s">
        <v>159</v>
      </c>
      <c r="F86" s="5"/>
      <c r="G86" s="5"/>
      <c r="H86" s="4">
        <v>6.0</v>
      </c>
      <c r="I86" s="6" t="s">
        <v>57</v>
      </c>
      <c r="J86" s="5"/>
    </row>
    <row r="87">
      <c r="A87" s="3">
        <v>86.0</v>
      </c>
      <c r="B87" s="4" t="s">
        <v>146</v>
      </c>
      <c r="C87" s="7"/>
      <c r="D87" s="5"/>
      <c r="E87" s="4" t="s">
        <v>160</v>
      </c>
      <c r="F87" s="5"/>
      <c r="G87" s="5"/>
      <c r="H87" s="4">
        <v>0.0</v>
      </c>
      <c r="I87" s="5"/>
      <c r="J87" s="4" t="s">
        <v>105</v>
      </c>
    </row>
    <row r="88">
      <c r="A88" s="3">
        <v>87.0</v>
      </c>
      <c r="B88" s="4" t="s">
        <v>161</v>
      </c>
      <c r="C88" s="3">
        <v>5.0</v>
      </c>
      <c r="D88" s="4" t="s">
        <v>162</v>
      </c>
      <c r="E88" s="4" t="s">
        <v>163</v>
      </c>
      <c r="F88" s="5"/>
      <c r="G88" s="4">
        <v>0.0</v>
      </c>
      <c r="H88" s="4">
        <v>75.53</v>
      </c>
      <c r="I88" s="5"/>
      <c r="J88" s="4" t="s">
        <v>164</v>
      </c>
    </row>
    <row r="89">
      <c r="A89" s="3">
        <v>88.0</v>
      </c>
      <c r="B89" s="4" t="s">
        <v>161</v>
      </c>
      <c r="C89" s="3">
        <v>5.0</v>
      </c>
      <c r="D89" s="4" t="s">
        <v>165</v>
      </c>
      <c r="E89" s="4" t="s">
        <v>166</v>
      </c>
      <c r="F89" s="5"/>
      <c r="G89" s="4">
        <v>0.0</v>
      </c>
      <c r="H89" s="4">
        <v>72.63</v>
      </c>
      <c r="I89" s="5"/>
      <c r="J89" s="4" t="s">
        <v>164</v>
      </c>
    </row>
    <row r="90">
      <c r="A90" s="3">
        <v>89.0</v>
      </c>
      <c r="B90" s="4" t="s">
        <v>161</v>
      </c>
      <c r="C90" s="3">
        <v>5.0</v>
      </c>
      <c r="D90" s="4" t="s">
        <v>167</v>
      </c>
      <c r="E90" s="4" t="s">
        <v>168</v>
      </c>
      <c r="F90" s="5"/>
      <c r="G90" s="4">
        <v>0.0</v>
      </c>
      <c r="H90" s="4">
        <v>22.2</v>
      </c>
      <c r="I90" s="5"/>
      <c r="J90" s="4" t="s">
        <v>164</v>
      </c>
    </row>
    <row r="91">
      <c r="A91" s="3">
        <v>90.0</v>
      </c>
      <c r="B91" s="4" t="s">
        <v>169</v>
      </c>
      <c r="C91" s="3">
        <v>2.0</v>
      </c>
      <c r="D91" s="4" t="s">
        <v>170</v>
      </c>
      <c r="E91" s="4" t="s">
        <v>171</v>
      </c>
      <c r="F91" s="5"/>
      <c r="G91" s="4">
        <v>7.0</v>
      </c>
      <c r="H91" s="5">
        <f t="shared" ref="H91:H93" si="3">G91*C91</f>
        <v>14</v>
      </c>
      <c r="I91" s="5"/>
      <c r="J91" s="5"/>
    </row>
    <row r="92">
      <c r="A92" s="3">
        <v>91.0</v>
      </c>
      <c r="B92" s="4" t="s">
        <v>169</v>
      </c>
      <c r="C92" s="3">
        <v>2.0</v>
      </c>
      <c r="D92" s="4" t="s">
        <v>172</v>
      </c>
      <c r="E92" s="4" t="s">
        <v>171</v>
      </c>
      <c r="F92" s="5"/>
      <c r="G92" s="4">
        <v>7.0</v>
      </c>
      <c r="H92" s="5">
        <f t="shared" si="3"/>
        <v>14</v>
      </c>
      <c r="I92" s="5"/>
      <c r="J92" s="5"/>
    </row>
    <row r="93">
      <c r="A93" s="3">
        <v>92.0</v>
      </c>
      <c r="B93" s="4" t="s">
        <v>169</v>
      </c>
      <c r="C93" s="3">
        <v>1.0</v>
      </c>
      <c r="D93" s="4" t="s">
        <v>173</v>
      </c>
      <c r="E93" s="4" t="s">
        <v>174</v>
      </c>
      <c r="F93" s="5"/>
      <c r="G93" s="4">
        <v>7.0</v>
      </c>
      <c r="H93" s="5">
        <f t="shared" si="3"/>
        <v>7</v>
      </c>
      <c r="I93" s="5"/>
      <c r="J93" s="5"/>
    </row>
    <row r="94">
      <c r="A94" s="3">
        <v>93.0</v>
      </c>
      <c r="B94" s="4" t="s">
        <v>175</v>
      </c>
      <c r="C94" s="3">
        <v>1.0</v>
      </c>
      <c r="D94" s="4" t="s">
        <v>176</v>
      </c>
      <c r="E94" s="4" t="s">
        <v>177</v>
      </c>
      <c r="F94" s="5"/>
      <c r="G94" s="4">
        <v>0.0</v>
      </c>
      <c r="H94" s="4">
        <v>140.0</v>
      </c>
      <c r="I94" s="5"/>
      <c r="J94" s="5"/>
    </row>
    <row r="95">
      <c r="A95" s="3">
        <v>94.0</v>
      </c>
      <c r="B95" s="4" t="s">
        <v>178</v>
      </c>
      <c r="C95" s="3">
        <v>1.0</v>
      </c>
      <c r="D95" s="4" t="s">
        <v>179</v>
      </c>
      <c r="E95" s="4" t="s">
        <v>180</v>
      </c>
      <c r="F95" s="5"/>
      <c r="G95" s="4">
        <v>8.99</v>
      </c>
      <c r="H95" s="5">
        <f>G95*C95</f>
        <v>8.99</v>
      </c>
      <c r="I95" s="5"/>
      <c r="J95" s="5"/>
    </row>
    <row r="96">
      <c r="A96" s="3">
        <v>95.0</v>
      </c>
      <c r="B96" s="4" t="s">
        <v>181</v>
      </c>
      <c r="C96" s="3">
        <v>1.0</v>
      </c>
      <c r="D96" s="4" t="s">
        <v>182</v>
      </c>
      <c r="E96" s="5"/>
      <c r="F96" s="5"/>
      <c r="G96" s="4">
        <v>0.0</v>
      </c>
      <c r="H96" s="4">
        <v>0.0</v>
      </c>
      <c r="I96" s="5"/>
      <c r="J96" s="5"/>
    </row>
    <row r="97">
      <c r="A97" s="3">
        <v>96.0</v>
      </c>
      <c r="B97" s="4" t="s">
        <v>181</v>
      </c>
      <c r="C97" s="3">
        <v>1.0</v>
      </c>
      <c r="D97" s="4" t="s">
        <v>183</v>
      </c>
      <c r="E97" s="5"/>
      <c r="F97" s="5"/>
      <c r="G97" s="4">
        <v>0.0</v>
      </c>
      <c r="H97" s="4">
        <v>160.0</v>
      </c>
      <c r="I97" s="5"/>
      <c r="J97" s="5"/>
    </row>
    <row r="98">
      <c r="A98" s="5"/>
      <c r="B98" s="5"/>
      <c r="C98" s="7"/>
      <c r="D98" s="5"/>
      <c r="E98" s="5"/>
      <c r="F98" s="5"/>
      <c r="G98" s="5"/>
      <c r="H98" s="5"/>
      <c r="I98" s="5"/>
      <c r="J98" s="5"/>
    </row>
    <row r="99">
      <c r="A99" s="5"/>
      <c r="B99" s="5"/>
      <c r="C99" s="7"/>
      <c r="D99" s="8" t="s">
        <v>184</v>
      </c>
      <c r="E99" s="8" t="s">
        <v>185</v>
      </c>
      <c r="F99" s="8" t="s">
        <v>186</v>
      </c>
      <c r="G99" s="5"/>
      <c r="H99" s="5"/>
      <c r="I99" s="5"/>
      <c r="J99" s="5"/>
    </row>
    <row r="100">
      <c r="A100" s="5"/>
      <c r="B100" s="5"/>
      <c r="C100" s="7"/>
      <c r="D100" s="9">
        <f>sum(H88:H97)</f>
        <v>514.35</v>
      </c>
      <c r="E100" s="9">
        <f>sum(H2:H87)</f>
        <v>301.02</v>
      </c>
      <c r="F100" s="9">
        <f>sum(H:H)</f>
        <v>815.37</v>
      </c>
      <c r="G100" s="5"/>
      <c r="H100" s="5"/>
      <c r="I100" s="5"/>
      <c r="J100" s="5"/>
    </row>
    <row r="101">
      <c r="A101" s="5"/>
      <c r="B101" s="5"/>
      <c r="C101" s="7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7"/>
      <c r="D102" s="8" t="s">
        <v>187</v>
      </c>
      <c r="E102" s="8" t="s">
        <v>188</v>
      </c>
      <c r="F102" s="5"/>
      <c r="G102" s="5"/>
      <c r="H102" s="5"/>
      <c r="I102" s="5"/>
      <c r="J102" s="5"/>
    </row>
    <row r="103">
      <c r="A103" s="5"/>
      <c r="B103" s="5"/>
      <c r="C103" s="7"/>
      <c r="D103" s="9">
        <f>E100+(D100/2)</f>
        <v>558.195</v>
      </c>
      <c r="E103" s="9">
        <f>E100+(D100/3)</f>
        <v>472.47</v>
      </c>
      <c r="F103" s="5"/>
      <c r="G103" s="5"/>
      <c r="H103" s="5"/>
      <c r="I103" s="5"/>
      <c r="J103" s="5"/>
    </row>
    <row r="104">
      <c r="A104" s="5"/>
      <c r="B104" s="5"/>
      <c r="C104" s="7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7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7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7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7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7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7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7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7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7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7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7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7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7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7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7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7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7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7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7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7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7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7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7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7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7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7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7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7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7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7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7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7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7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7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7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7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7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7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7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7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7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7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7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7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7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7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7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7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7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7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7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7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7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7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7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7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7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7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7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7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7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7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7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7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7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7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7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7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7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7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7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7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7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7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7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7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7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7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7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7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7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7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7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7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7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7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7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7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7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7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7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7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7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7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7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7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7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7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7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7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7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7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7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7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7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7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7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7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7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7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7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7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7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7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7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7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7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7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7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7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7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7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7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7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7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7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7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7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7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7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7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7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7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7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7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7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7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7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7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7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7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7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7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7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7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7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7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7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7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7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7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7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7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7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7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7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7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7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7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7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7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7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7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7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7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7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7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7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7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7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7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7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7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7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7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7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7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7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7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7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7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7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7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7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7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7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7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7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7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7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7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7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7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7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7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7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7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7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7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7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7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7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7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7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7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7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7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7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7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7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7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7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7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7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7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7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7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7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7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7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7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7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7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7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7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7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7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7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7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7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7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7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7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7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7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7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7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7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7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7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7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7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7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7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7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7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7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7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7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7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7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7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7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7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7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7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7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7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7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7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7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7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7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7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7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7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7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7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7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7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7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7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7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7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7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7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7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7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7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7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7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7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7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7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7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7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7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7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7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7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7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7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7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7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7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7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7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7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7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7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7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7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7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7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7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7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7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7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7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7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7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7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7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7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7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7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7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7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7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7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7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7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7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7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7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7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7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7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7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7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7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7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7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7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7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7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7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7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7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7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7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7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7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7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7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7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7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7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7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7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7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7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7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7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7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7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7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7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7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7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7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7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7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7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7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7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7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7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7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7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7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7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7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7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7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7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7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7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7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7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7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7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7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7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7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7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7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7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7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7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7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7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7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7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7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7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7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7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7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7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7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7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7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7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7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7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7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7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7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7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7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7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7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7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7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7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7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7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7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7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7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7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7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7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7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7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7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7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7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7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7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7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7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7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7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7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7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7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7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7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7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7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7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7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7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7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7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7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7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7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7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7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7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7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7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7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7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7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7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7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7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7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7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7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7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7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7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7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7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7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7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7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7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7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7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7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7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7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7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7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7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7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7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7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7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7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7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7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7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7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7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7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7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7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7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7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7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7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7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7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7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7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7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7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7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7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7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7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7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7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7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7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7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7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7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7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7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7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7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7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7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7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7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7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7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7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7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7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7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7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7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7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7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7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7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7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7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7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7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7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7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7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7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7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7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7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7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7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7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7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7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7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7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7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7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7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7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7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7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7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7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7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7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7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7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7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7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7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7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7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7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7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7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7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7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7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7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7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7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7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7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7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7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7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7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7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7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7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7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7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7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7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7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7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7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7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7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7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7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7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7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7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7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7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7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7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7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7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7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7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7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7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7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7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7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7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7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7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7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7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7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7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7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7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7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7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7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7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7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7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7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7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7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7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7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7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7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7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7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7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7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7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7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7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7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7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7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7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7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7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7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7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7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7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7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7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7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7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7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7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7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7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7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7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7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7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7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7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7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7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7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7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7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7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7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7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7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7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7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7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7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7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7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7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7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7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7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7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7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7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7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7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7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7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7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7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7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7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7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7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7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7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7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7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7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7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7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7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7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7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7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7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7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7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7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7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7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7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7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7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7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7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7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7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7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7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7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7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7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7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7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7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7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7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7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7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7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7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7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7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7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7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7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7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7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7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7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7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7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7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7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7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7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7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7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7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7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7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7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7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7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7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7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7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7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7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7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7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7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7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7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7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7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7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7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7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7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7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7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7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7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7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7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7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7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7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7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7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7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7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7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7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7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7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7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7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7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7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7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7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7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7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7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7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7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7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7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7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7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7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7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7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7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7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7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7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7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7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7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7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7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7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7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7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7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7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7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7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7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7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7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7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7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7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7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7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7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7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7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7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7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7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7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7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7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7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7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7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7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7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7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7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7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7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7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7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7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7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7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7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7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7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7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7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7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7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7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7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7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7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7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7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7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7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7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7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7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7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7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7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7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7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7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7"/>
      <c r="D988" s="5"/>
      <c r="E988" s="5"/>
      <c r="F988" s="5"/>
      <c r="G988" s="5"/>
      <c r="H988" s="5"/>
      <c r="I988" s="5"/>
      <c r="J988" s="5"/>
    </row>
    <row r="989">
      <c r="A989" s="5"/>
      <c r="B989" s="5"/>
      <c r="C989" s="7"/>
      <c r="D989" s="5"/>
      <c r="E989" s="5"/>
      <c r="F989" s="5"/>
      <c r="G989" s="5"/>
      <c r="H989" s="5"/>
      <c r="I989" s="5"/>
      <c r="J989" s="5"/>
    </row>
    <row r="990">
      <c r="A990" s="5"/>
      <c r="B990" s="5"/>
      <c r="C990" s="7"/>
      <c r="D990" s="5"/>
      <c r="E990" s="5"/>
      <c r="F990" s="5"/>
      <c r="G990" s="5"/>
      <c r="H990" s="5"/>
      <c r="I990" s="5"/>
      <c r="J990" s="5"/>
    </row>
    <row r="991">
      <c r="A991" s="5"/>
      <c r="B991" s="5"/>
      <c r="C991" s="7"/>
      <c r="D991" s="5"/>
      <c r="E991" s="5"/>
      <c r="F991" s="5"/>
      <c r="G991" s="5"/>
      <c r="H991" s="5"/>
      <c r="I991" s="5"/>
      <c r="J991" s="5"/>
    </row>
    <row r="992">
      <c r="A992" s="5"/>
      <c r="B992" s="5"/>
      <c r="C992" s="7"/>
      <c r="D992" s="5"/>
      <c r="E992" s="5"/>
      <c r="F992" s="5"/>
      <c r="G992" s="5"/>
      <c r="H992" s="5"/>
      <c r="I992" s="5"/>
      <c r="J992" s="5"/>
    </row>
    <row r="993">
      <c r="A993" s="5"/>
      <c r="B993" s="5"/>
      <c r="C993" s="7"/>
      <c r="D993" s="5"/>
      <c r="E993" s="5"/>
      <c r="F993" s="5"/>
      <c r="G993" s="5"/>
      <c r="H993" s="5"/>
      <c r="I993" s="5"/>
      <c r="J993" s="5"/>
    </row>
    <row r="994">
      <c r="A994" s="5"/>
      <c r="B994" s="5"/>
      <c r="C994" s="7"/>
      <c r="D994" s="5"/>
      <c r="E994" s="5"/>
      <c r="F994" s="5"/>
      <c r="G994" s="5"/>
      <c r="H994" s="5"/>
      <c r="I994" s="5"/>
      <c r="J994" s="5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9"/>
    <hyperlink r:id="rId17" ref="I20"/>
    <hyperlink r:id="rId18" ref="I21"/>
    <hyperlink r:id="rId19" ref="I22"/>
    <hyperlink r:id="rId20" ref="I24"/>
    <hyperlink r:id="rId21" ref="I25"/>
    <hyperlink r:id="rId22" ref="I26"/>
    <hyperlink r:id="rId23" ref="I27"/>
    <hyperlink r:id="rId24" ref="I28"/>
    <hyperlink r:id="rId25" ref="I29"/>
    <hyperlink r:id="rId26" ref="I30"/>
    <hyperlink r:id="rId27" ref="I31"/>
    <hyperlink r:id="rId28" ref="I32"/>
    <hyperlink r:id="rId29" ref="I33"/>
    <hyperlink r:id="rId30" ref="I34"/>
    <hyperlink r:id="rId31" ref="I35"/>
    <hyperlink r:id="rId32" ref="I36"/>
    <hyperlink r:id="rId33" ref="I37"/>
    <hyperlink r:id="rId34" ref="I39"/>
    <hyperlink r:id="rId35" ref="I40"/>
    <hyperlink r:id="rId36" ref="I41"/>
    <hyperlink r:id="rId37" ref="I42"/>
    <hyperlink r:id="rId38" ref="I43"/>
    <hyperlink r:id="rId39" ref="I44"/>
    <hyperlink r:id="rId40" ref="I45"/>
    <hyperlink r:id="rId41" ref="I46"/>
    <hyperlink r:id="rId42" ref="I47"/>
    <hyperlink r:id="rId43" ref="I48"/>
    <hyperlink r:id="rId44" ref="I49"/>
    <hyperlink r:id="rId45" ref="I51"/>
    <hyperlink r:id="rId46" ref="I52"/>
    <hyperlink r:id="rId47" ref="I53"/>
    <hyperlink r:id="rId48" ref="I54"/>
    <hyperlink r:id="rId49" ref="I55"/>
    <hyperlink r:id="rId50" ref="I56"/>
    <hyperlink r:id="rId51" ref="I57"/>
    <hyperlink r:id="rId52" ref="I58"/>
    <hyperlink r:id="rId53" ref="I59"/>
    <hyperlink r:id="rId54" ref="I60"/>
    <hyperlink r:id="rId55" ref="I61"/>
    <hyperlink r:id="rId56" ref="I62"/>
    <hyperlink r:id="rId57" ref="I63"/>
    <hyperlink r:id="rId58" ref="I64"/>
    <hyperlink r:id="rId59" ref="I65"/>
    <hyperlink r:id="rId60" ref="I66"/>
    <hyperlink r:id="rId61" ref="I67"/>
    <hyperlink r:id="rId62" ref="I70"/>
    <hyperlink r:id="rId63" ref="I71"/>
    <hyperlink r:id="rId64" ref="I72"/>
    <hyperlink r:id="rId65" ref="I76"/>
    <hyperlink r:id="rId66" ref="I77"/>
    <hyperlink r:id="rId67" ref="I79"/>
    <hyperlink r:id="rId68" ref="I80"/>
    <hyperlink r:id="rId69" ref="I83"/>
    <hyperlink r:id="rId70" ref="I84"/>
    <hyperlink r:id="rId71" ref="I85"/>
    <hyperlink r:id="rId72" ref="I86"/>
  </hyperlinks>
  <drawing r:id="rId73"/>
</worksheet>
</file>